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courses\Projects\best sellin books 2023\"/>
    </mc:Choice>
  </mc:AlternateContent>
  <xr:revisionPtr revIDLastSave="0" documentId="13_ncr:1_{83016ABF-8137-44C2-9CE6-5C4B15BF1C7C}" xr6:coauthVersionLast="47" xr6:coauthVersionMax="47" xr10:uidLastSave="{00000000-0000-0000-0000-000000000000}"/>
  <bookViews>
    <workbookView xWindow="-108" yWindow="-108" windowWidth="23256" windowHeight="12576" firstSheet="2" activeTab="6" xr2:uid="{DD491177-6CF9-4BA8-A4F4-CDDD335A1278}"/>
  </bookViews>
  <sheets>
    <sheet name="top 5 books per price" sheetId="2" r:id="rId1"/>
    <sheet name="top 5 auther per rating" sheetId="3" r:id="rId2"/>
    <sheet name="top 5 genre rating" sheetId="4" r:id="rId3"/>
    <sheet name="form per rating" sheetId="5" r:id="rId4"/>
    <sheet name="rating per price category" sheetId="7" r:id="rId5"/>
    <sheet name="best sellin books 2023" sheetId="1" r:id="rId6"/>
    <sheet name="dashboard" sheetId="6" r:id="rId7"/>
  </sheets>
  <definedNames>
    <definedName name="Slicer_form">#N/A</definedName>
    <definedName name="Slicer_Genr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a="1"/>
  <c r="K2" i="1" s="1"/>
  <c r="K3" i="1" a="1"/>
  <c r="K3" i="1" s="1"/>
  <c r="K4" i="1" a="1"/>
  <c r="K4" i="1" s="1"/>
  <c r="K5" i="1" a="1"/>
  <c r="K5" i="1" s="1"/>
  <c r="K6" i="1" a="1"/>
  <c r="K6" i="1"/>
  <c r="K7" i="1" a="1"/>
  <c r="K7" i="1" s="1"/>
  <c r="K8" i="1" a="1"/>
  <c r="K8" i="1" s="1"/>
  <c r="K9" i="1" a="1"/>
  <c r="K9" i="1" s="1"/>
  <c r="K10" i="1" a="1"/>
  <c r="K10" i="1" s="1"/>
  <c r="K11" i="1" a="1"/>
  <c r="K11" i="1" s="1"/>
  <c r="K12" i="1" a="1"/>
  <c r="K12" i="1"/>
  <c r="K13" i="1" a="1"/>
  <c r="K13" i="1" s="1"/>
  <c r="K14" i="1" a="1"/>
  <c r="K14" i="1" s="1"/>
  <c r="K15" i="1" a="1"/>
  <c r="K15" i="1" s="1"/>
  <c r="K16" i="1" a="1"/>
  <c r="K16" i="1" s="1"/>
  <c r="K17" i="1" a="1"/>
  <c r="K17" i="1" s="1"/>
  <c r="K18" i="1" a="1"/>
  <c r="K18" i="1"/>
  <c r="K19" i="1" a="1"/>
  <c r="K19" i="1" s="1"/>
  <c r="K20" i="1" a="1"/>
  <c r="K20" i="1" s="1"/>
  <c r="K21" i="1" a="1"/>
  <c r="K21" i="1" s="1"/>
  <c r="K22" i="1" a="1"/>
  <c r="K22" i="1" s="1"/>
  <c r="K23" i="1" a="1"/>
  <c r="K23" i="1" s="1"/>
  <c r="K24" i="1" a="1"/>
  <c r="K24" i="1"/>
  <c r="K25" i="1" a="1"/>
  <c r="K25" i="1" s="1"/>
  <c r="K26" i="1" a="1"/>
  <c r="K26" i="1" s="1"/>
  <c r="K27" i="1" a="1"/>
  <c r="K27" i="1" s="1"/>
  <c r="K28" i="1" a="1"/>
  <c r="K28" i="1" s="1"/>
  <c r="K29" i="1" a="1"/>
  <c r="K29" i="1" s="1"/>
  <c r="K30" i="1" a="1"/>
  <c r="K30" i="1"/>
  <c r="K31" i="1" a="1"/>
  <c r="K31" i="1" s="1"/>
  <c r="K32" i="1" a="1"/>
  <c r="K32" i="1" s="1"/>
  <c r="K33" i="1" a="1"/>
  <c r="K33" i="1" s="1"/>
  <c r="K34" i="1" a="1"/>
  <c r="K34" i="1" s="1"/>
  <c r="K35" i="1" a="1"/>
  <c r="K35" i="1" s="1"/>
  <c r="K36" i="1" a="1"/>
  <c r="K36" i="1"/>
  <c r="K37" i="1" a="1"/>
  <c r="K37" i="1" s="1"/>
  <c r="K38" i="1" a="1"/>
  <c r="K38" i="1" s="1"/>
  <c r="K39" i="1" a="1"/>
  <c r="K39" i="1" s="1"/>
  <c r="K40" i="1" a="1"/>
  <c r="K40" i="1" s="1"/>
  <c r="K41" i="1" a="1"/>
  <c r="K41" i="1" s="1"/>
  <c r="K42" i="1" a="1"/>
  <c r="K42" i="1"/>
  <c r="K43" i="1" a="1"/>
  <c r="K43" i="1" s="1"/>
  <c r="K44" i="1" a="1"/>
  <c r="K44" i="1" s="1"/>
  <c r="K45" i="1" a="1"/>
  <c r="K45" i="1" s="1"/>
  <c r="K46" i="1" a="1"/>
  <c r="K46" i="1" s="1"/>
  <c r="K47" i="1" a="1"/>
  <c r="K47" i="1" s="1"/>
  <c r="K48" i="1" a="1"/>
  <c r="K48" i="1"/>
  <c r="K49" i="1" a="1"/>
  <c r="K49" i="1" s="1"/>
  <c r="K50" i="1" a="1"/>
  <c r="K50" i="1" s="1"/>
  <c r="K51" i="1" a="1"/>
  <c r="K51" i="1" s="1"/>
  <c r="K52" i="1" a="1"/>
  <c r="K52" i="1" s="1"/>
  <c r="K53" i="1" a="1"/>
  <c r="K53" i="1" s="1"/>
  <c r="K54" i="1" a="1"/>
  <c r="K54" i="1"/>
  <c r="K55" i="1" a="1"/>
  <c r="K55" i="1" s="1"/>
  <c r="K56" i="1" a="1"/>
  <c r="K56" i="1" s="1"/>
  <c r="K57" i="1" a="1"/>
  <c r="K57" i="1" s="1"/>
  <c r="K58" i="1" a="1"/>
  <c r="K58" i="1" s="1"/>
  <c r="K59" i="1" a="1"/>
  <c r="K59" i="1" s="1"/>
  <c r="K60" i="1" a="1"/>
  <c r="K60" i="1"/>
  <c r="K61" i="1" a="1"/>
  <c r="K61" i="1" s="1"/>
  <c r="K62" i="1" a="1"/>
  <c r="K62" i="1" s="1"/>
  <c r="K63" i="1" a="1"/>
  <c r="K63" i="1" s="1"/>
  <c r="K64" i="1" a="1"/>
  <c r="K64" i="1" s="1"/>
  <c r="K65" i="1" a="1"/>
  <c r="K65" i="1" s="1"/>
  <c r="K66" i="1" a="1"/>
  <c r="K66" i="1"/>
  <c r="K67" i="1" a="1"/>
  <c r="K67" i="1" s="1"/>
  <c r="K68" i="1" a="1"/>
  <c r="K68" i="1" s="1"/>
  <c r="K69" i="1" a="1"/>
  <c r="K69" i="1" s="1"/>
  <c r="K70" i="1" a="1"/>
  <c r="K70" i="1" s="1"/>
  <c r="K71" i="1" a="1"/>
  <c r="K71" i="1" s="1"/>
  <c r="K72" i="1" a="1"/>
  <c r="K72" i="1"/>
  <c r="K73" i="1" a="1"/>
  <c r="K73" i="1" s="1"/>
  <c r="K74" i="1" a="1"/>
  <c r="K74" i="1" s="1"/>
  <c r="K75" i="1" a="1"/>
  <c r="K75" i="1" s="1"/>
  <c r="K76" i="1" a="1"/>
  <c r="K76" i="1" s="1"/>
  <c r="K77" i="1" a="1"/>
  <c r="K77" i="1" s="1"/>
  <c r="K78" i="1" a="1"/>
  <c r="K78" i="1"/>
  <c r="K79" i="1" a="1"/>
  <c r="K79" i="1" s="1"/>
  <c r="K80" i="1" a="1"/>
  <c r="K80" i="1" s="1"/>
  <c r="K81" i="1" a="1"/>
  <c r="K81" i="1" s="1"/>
  <c r="K82" i="1" a="1"/>
  <c r="K82" i="1" s="1"/>
  <c r="K83" i="1" a="1"/>
  <c r="K83" i="1" s="1"/>
  <c r="K84" i="1" a="1"/>
  <c r="K84" i="1"/>
  <c r="K85" i="1" a="1"/>
  <c r="K85" i="1" s="1"/>
  <c r="K86" i="1" a="1"/>
  <c r="K86" i="1" s="1"/>
  <c r="K87" i="1" a="1"/>
  <c r="K87" i="1" s="1"/>
  <c r="K88" i="1" a="1"/>
  <c r="K88" i="1" s="1"/>
  <c r="K89" i="1" a="1"/>
  <c r="K89" i="1" s="1"/>
  <c r="K90" i="1" a="1"/>
  <c r="K90" i="1"/>
  <c r="K91" i="1" a="1"/>
  <c r="K91" i="1" s="1"/>
  <c r="K92" i="1" a="1"/>
  <c r="K92" i="1" s="1"/>
  <c r="K93" i="1" a="1"/>
  <c r="K93" i="1" s="1"/>
  <c r="K94" i="1" a="1"/>
  <c r="K94" i="1" s="1"/>
  <c r="K95" i="1" a="1"/>
  <c r="K95" i="1" s="1"/>
  <c r="K96" i="1" a="1"/>
  <c r="K96" i="1"/>
  <c r="K97" i="1" a="1"/>
  <c r="K97" i="1" s="1"/>
  <c r="K98" i="1" a="1"/>
  <c r="K98" i="1" s="1"/>
  <c r="K99" i="1" a="1"/>
  <c r="K99" i="1" s="1"/>
  <c r="K100" i="1" a="1"/>
  <c r="K100" i="1" s="1"/>
  <c r="K101" i="1" a="1"/>
  <c r="K1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<sst xmlns="http://schemas.openxmlformats.org/spreadsheetml/2006/main" count="509" uniqueCount="279">
  <si>
    <t>Book name</t>
  </si>
  <si>
    <t>Author</t>
  </si>
  <si>
    <t>Rating</t>
  </si>
  <si>
    <t>reviews count</t>
  </si>
  <si>
    <t>form</t>
  </si>
  <si>
    <t>price</t>
  </si>
  <si>
    <t>Print Length</t>
  </si>
  <si>
    <t>Publishing date</t>
  </si>
  <si>
    <t>Genre</t>
  </si>
  <si>
    <t>Atomic Habits: An Easy &amp; Proven Way to Build Good Habits &amp; Break Bad Ones</t>
  </si>
  <si>
    <t>James Clear</t>
  </si>
  <si>
    <t>Hardcover</t>
  </si>
  <si>
    <t>Self-Improvement</t>
  </si>
  <si>
    <t>Iron Flame (Standard Edition) (The Empyrean, 2)</t>
  </si>
  <si>
    <t>Rebecca Yarros</t>
  </si>
  <si>
    <t>Fiction &amp; Action &amp; Adventure</t>
  </si>
  <si>
    <t>Spare</t>
  </si>
  <si>
    <t>Prince Harry  The Duke of Sussex</t>
  </si>
  <si>
    <t>January 10, 2023</t>
  </si>
  <si>
    <t>Biographies &amp; Memoirs</t>
  </si>
  <si>
    <t>Fourth Wing</t>
  </si>
  <si>
    <t>Paperback</t>
  </si>
  <si>
    <t>The Woman in Me</t>
  </si>
  <si>
    <t>Britney Spears</t>
  </si>
  <si>
    <t>October 24, 2023</t>
  </si>
  <si>
    <t>Lessons in Chemistry: A Novel</t>
  </si>
  <si>
    <t>Bonnie Garmus</t>
  </si>
  <si>
    <t>April 5, 2022</t>
  </si>
  <si>
    <t>The 48 Laws of Power</t>
  </si>
  <si>
    <t>Robert Greene</t>
  </si>
  <si>
    <t>Politics &amp; Social Sciences</t>
  </si>
  <si>
    <t>The Body Keeps the Score: Brain, Mind, and Body in the Healing of Trauma</t>
  </si>
  <si>
    <t>Bessel van der Kolk M.D.</t>
  </si>
  <si>
    <t>Health &amp; Fitness &amp; Dieting</t>
  </si>
  <si>
    <t>It Starts with Us: A Novel (It Ends with Us)</t>
  </si>
  <si>
    <t>Colleen Hoover</t>
  </si>
  <si>
    <t>Outlive: The Science and Art of Longevity</t>
  </si>
  <si>
    <t>Peter Attia MD</t>
  </si>
  <si>
    <t>It Ends with Us: A Novel</t>
  </si>
  <si>
    <t>The Housemaid</t>
  </si>
  <si>
    <t>Freida McFadden</t>
  </si>
  <si>
    <t>Mystery &amp; Thriller &amp; Suspense</t>
  </si>
  <si>
    <t>The Very Hungry Caterpillar</t>
  </si>
  <si>
    <t>Eric Carle</t>
  </si>
  <si>
    <t>Board book</t>
  </si>
  <si>
    <t>Reading &amp; Writing</t>
  </si>
  <si>
    <t>Killers of the Flower Moon: The Osage Murders and the Birth of the FBI</t>
  </si>
  <si>
    <t>David Grann</t>
  </si>
  <si>
    <t>April 3, 2018</t>
  </si>
  <si>
    <t>Verity</t>
  </si>
  <si>
    <t>The Seven Husbands of Evelyn Hugo</t>
  </si>
  <si>
    <t>Taylor Jenkins Reid</t>
  </si>
  <si>
    <t>The Creative Act: A Way of Being</t>
  </si>
  <si>
    <t>Rick Rubin</t>
  </si>
  <si>
    <t>Taylor Swift: A Little Golden Book Biography</t>
  </si>
  <si>
    <t>Wendy Loggia, Elisa Chavarri</t>
  </si>
  <si>
    <t>Arts &amp; Music &amp; Photography</t>
  </si>
  <si>
    <t>The Four Agreements: A Practical Guide to Personal Freedom</t>
  </si>
  <si>
    <t>Janet Mills, Don Miguel Ruiz</t>
  </si>
  <si>
    <t>Demon Copperhead: A Novel</t>
  </si>
  <si>
    <t>Barbara Kingsolver</t>
  </si>
  <si>
    <t>October 18, 2022</t>
  </si>
  <si>
    <t>A Court of Thorns and Roses</t>
  </si>
  <si>
    <t>Sarah J. Maas</t>
  </si>
  <si>
    <t>Interesting Facts For Curious Minds</t>
  </si>
  <si>
    <t>Jordan Moore</t>
  </si>
  <si>
    <t>Puzzles &amp; Games</t>
  </si>
  <si>
    <t>No Brainer (Diary of a Wimpy Kid #18) (Volume 18)</t>
  </si>
  <si>
    <t>Jeff Kinney</t>
  </si>
  <si>
    <t>I Love You to the Moon and Back</t>
  </si>
  <si>
    <t>Amelia Hepworth</t>
  </si>
  <si>
    <t>Dog Man: Twenty Thousand Fleas Under the Sea: A Graphic Novel (Dog Man #11): From the Creator of Captain Underpants</t>
  </si>
  <si>
    <t>Dav Pilkey</t>
  </si>
  <si>
    <t>March 28, 2023</t>
  </si>
  <si>
    <t>Comics &amp; Graphic Novels</t>
  </si>
  <si>
    <t>Things We Never Got Over (Knockemout)</t>
  </si>
  <si>
    <t>Lucy Score</t>
  </si>
  <si>
    <t>January 12, 2022</t>
  </si>
  <si>
    <t>The Covenant of Water (Oprah's Book Club)</t>
  </si>
  <si>
    <t>Abraham Verghese</t>
  </si>
  <si>
    <t>May 2, 2023</t>
  </si>
  <si>
    <t>Brown Bear, Brown Bear, What Do You See?</t>
  </si>
  <si>
    <t>Bill Martin Jr. , Eric Carle</t>
  </si>
  <si>
    <t>Baking Yesteryear: The Best Recipes from the 1900s to the 1980s</t>
  </si>
  <si>
    <t>B. Dylan Hollis</t>
  </si>
  <si>
    <t>July 25, 2023</t>
  </si>
  <si>
    <t>Cookbooks &amp; Food</t>
  </si>
  <si>
    <t>I Love You Like No Otter: A Funny and Sweet Valentine's Day Board Book for Babies and Toddlers (Punderland)</t>
  </si>
  <si>
    <t>Rose Rossner</t>
  </si>
  <si>
    <t>Friends, Lovers, and the Big Terrible Thing</t>
  </si>
  <si>
    <t>Matthew Perry</t>
  </si>
  <si>
    <t>November 1, 2022</t>
  </si>
  <si>
    <t>Humor &amp; Entertainment</t>
  </si>
  <si>
    <t>Rich Dad Poor Dad</t>
  </si>
  <si>
    <t>Robert T. Kiyosaki</t>
  </si>
  <si>
    <t>Business &amp; Money</t>
  </si>
  <si>
    <t>The Wager: A Tale of Shipwreck, Mutiny and Murder</t>
  </si>
  <si>
    <t>April 18, 2023</t>
  </si>
  <si>
    <t>Oh, the Places You'll Go!</t>
  </si>
  <si>
    <t xml:space="preserve">Dr. Seuss </t>
  </si>
  <si>
    <t>My First Library: Boxset of 10 Board Books for Kids</t>
  </si>
  <si>
    <t>Wonder House Books</t>
  </si>
  <si>
    <t>If He Had Been with Me</t>
  </si>
  <si>
    <t>Laura Nowlin</t>
  </si>
  <si>
    <t>Goodnight Moon</t>
  </si>
  <si>
    <t>Margaret Wise Brown, Clement Hurd</t>
  </si>
  <si>
    <t>August 2, 1991</t>
  </si>
  <si>
    <t>Tomorrow, and Tomorrow, and Tomorrow</t>
  </si>
  <si>
    <t>Gabrielle Zevin</t>
  </si>
  <si>
    <t>July 5, 2022</t>
  </si>
  <si>
    <t>World of Eric Carle, Around the Farm 30</t>
  </si>
  <si>
    <t>PI Kids</t>
  </si>
  <si>
    <t>The Wonderful Things You Will Be</t>
  </si>
  <si>
    <t>Emily Winfield Martin</t>
  </si>
  <si>
    <t>Fourth Wing (Special Edition)</t>
  </si>
  <si>
    <t>November 7, 2023</t>
  </si>
  <si>
    <t>The Silent Patient</t>
  </si>
  <si>
    <t>Alex Michaelides</t>
  </si>
  <si>
    <t>Remarkably Bright Creatures: A Read with Jenna Pick</t>
  </si>
  <si>
    <t>Shelby Van Pelt</t>
  </si>
  <si>
    <t>The Psychology of Money: Timeless lessons on wealth, greed, and happiness</t>
  </si>
  <si>
    <t>Morgan Housel</t>
  </si>
  <si>
    <t>The Shadow Work Journal</t>
  </si>
  <si>
    <t>Keila Shaheen</t>
  </si>
  <si>
    <t>November 2, 2021</t>
  </si>
  <si>
    <t>Oath and Honor: A Memoir and a Warning</t>
  </si>
  <si>
    <t>Liz Cheney</t>
  </si>
  <si>
    <t>December 5, 2023</t>
  </si>
  <si>
    <t>Where's Bluey?: A Search-and-Find Book</t>
  </si>
  <si>
    <t>Penguin Young Readers Licenses</t>
  </si>
  <si>
    <t>January 25, 2022</t>
  </si>
  <si>
    <t>Twisted Love</t>
  </si>
  <si>
    <t>Ana Huang</t>
  </si>
  <si>
    <t>September 27, 2022</t>
  </si>
  <si>
    <t>Icebreaker</t>
  </si>
  <si>
    <t>Hannah Grace</t>
  </si>
  <si>
    <t>February 7, 2023</t>
  </si>
  <si>
    <t>Things We Hide from the Light</t>
  </si>
  <si>
    <t>February 21, 2023</t>
  </si>
  <si>
    <t>Reminders of Him: A Novel</t>
  </si>
  <si>
    <t>January 18, 2022</t>
  </si>
  <si>
    <t>A Court of Mist and Fury</t>
  </si>
  <si>
    <t>The Legend of Zelda™: Tears of the Kingdom – The Complete Official Guide: Collector's Edition</t>
  </si>
  <si>
    <t>Piggyback</t>
  </si>
  <si>
    <t>July 7, 2023</t>
  </si>
  <si>
    <t>Computers &amp; Technology</t>
  </si>
  <si>
    <t>Elon Musk</t>
  </si>
  <si>
    <t>Walter Isaacson</t>
  </si>
  <si>
    <t>September 12, 2023</t>
  </si>
  <si>
    <t>I Will Teach You to Be Rich: No Guilt. No Excuses. Just a 6-Week Program That Works (Second Edition)</t>
  </si>
  <si>
    <t>Ramit Sethi</t>
  </si>
  <si>
    <t>May 14, 2019</t>
  </si>
  <si>
    <t>Haunting Adeline</t>
  </si>
  <si>
    <t>H. D. Carlton</t>
  </si>
  <si>
    <t>How to Catch a Dinosaur</t>
  </si>
  <si>
    <t>Adam Wallace</t>
  </si>
  <si>
    <t>September 3, 2019</t>
  </si>
  <si>
    <t>Ugly Love: A Novel</t>
  </si>
  <si>
    <t>August 5, 2014</t>
  </si>
  <si>
    <t>If Animals Kissed Good Night</t>
  </si>
  <si>
    <t>Ann Whitford Paul</t>
  </si>
  <si>
    <t>June 3, 2014</t>
  </si>
  <si>
    <t>Happy Place</t>
  </si>
  <si>
    <t>Emily Henry</t>
  </si>
  <si>
    <t>April 25, 2023</t>
  </si>
  <si>
    <t>Twisted Games</t>
  </si>
  <si>
    <t>Romance</t>
  </si>
  <si>
    <t>Chicka Chicka Boom Boom</t>
  </si>
  <si>
    <t>Bill Martin Jr.,  John Archambault , Lois Ehlert</t>
  </si>
  <si>
    <t>Hello Beautiful (Oprah's Book Club): A Novel</t>
  </si>
  <si>
    <t>Ann Napolitano</t>
  </si>
  <si>
    <t>March 14, 2023</t>
  </si>
  <si>
    <t>The Democrat Party Hates America</t>
  </si>
  <si>
    <t>Mark R. Levin</t>
  </si>
  <si>
    <t>September 19, 2023</t>
  </si>
  <si>
    <t>A Little Life</t>
  </si>
  <si>
    <t>Hanya Yanagihara</t>
  </si>
  <si>
    <t>January 26, 2016</t>
  </si>
  <si>
    <t>Meditations</t>
  </si>
  <si>
    <t>Marcus Aurelius</t>
  </si>
  <si>
    <t>May 6, 2003</t>
  </si>
  <si>
    <t>Holly</t>
  </si>
  <si>
    <t>Stephen King</t>
  </si>
  <si>
    <t>September 5, 2023</t>
  </si>
  <si>
    <t>The Heaven &amp; Earth Grocery Store</t>
  </si>
  <si>
    <t>James McBride</t>
  </si>
  <si>
    <t>Scholastic Flash Cards: Sight Words</t>
  </si>
  <si>
    <t>Scholastic</t>
  </si>
  <si>
    <t>Cards</t>
  </si>
  <si>
    <t>Schools &amp; Teaching</t>
  </si>
  <si>
    <t>Think and Grow Rich: The Landmark Bestseller Now Revised and Updated for the 21st Century (Think and Grow Rich Series)</t>
  </si>
  <si>
    <t>Napoleon Hill</t>
  </si>
  <si>
    <t>December 15, 2007</t>
  </si>
  <si>
    <t>Daisy Jones &amp; The Six: Reese's Book Club: A Novel</t>
  </si>
  <si>
    <t>February 4, 2020</t>
  </si>
  <si>
    <t>A Court of Thorns and Roses Paperback Box Set (5 books)</t>
  </si>
  <si>
    <t>How to Win Friends &amp; Influence People</t>
  </si>
  <si>
    <t xml:space="preserve">Dale Carnegie </t>
  </si>
  <si>
    <t>The Complete Cookbook for Young Chefs</t>
  </si>
  <si>
    <t>America’s Test Kitchen Kids</t>
  </si>
  <si>
    <t>The Boy, the Mole, the Fox and the Horse: Inspiring Conversations on Hope, Love and Personal Growth</t>
  </si>
  <si>
    <t>Charlie Mackesy</t>
  </si>
  <si>
    <t>October 22, 2019</t>
  </si>
  <si>
    <t>Can't Hurt Me: Master Your Mind and Defy the Odds</t>
  </si>
  <si>
    <t>David Goggins</t>
  </si>
  <si>
    <t>December 10, 2018</t>
  </si>
  <si>
    <t>The Complete Summer I Turned Pretty Trilogy (Boxed Set): The Summer I Turned Pretty; It's Not Summer Without You; We'll Always Have Summer</t>
  </si>
  <si>
    <t>Jenny Han</t>
  </si>
  <si>
    <t>May 7, 2013</t>
  </si>
  <si>
    <t>The Exchange: After The Firm (The Firm Series)</t>
  </si>
  <si>
    <t>John Grisham</t>
  </si>
  <si>
    <t>October 17, 2023</t>
  </si>
  <si>
    <t>Dragons Love Tacos</t>
  </si>
  <si>
    <t>Adam Rubin, Daniel Salmieri</t>
  </si>
  <si>
    <t>The Nightingale: A Novel</t>
  </si>
  <si>
    <t>Kristin Hannah</t>
  </si>
  <si>
    <t xml:space="preserve"> April 25, 2017</t>
  </si>
  <si>
    <t>Harry Potter Paperback Box Set</t>
  </si>
  <si>
    <t>J. K. Rowling, Mary GrandPre?</t>
  </si>
  <si>
    <t>July 1, 2009</t>
  </si>
  <si>
    <t>Adult Children of Emotionally Immature Parents</t>
  </si>
  <si>
    <t>Lindsay C. Gibson</t>
  </si>
  <si>
    <t>June 1, 2015</t>
  </si>
  <si>
    <t>Stop Overthinking</t>
  </si>
  <si>
    <t>Nick Trenton</t>
  </si>
  <si>
    <t>March 1, 2021</t>
  </si>
  <si>
    <t>A Court of Wings and Ruin</t>
  </si>
  <si>
    <t>The Subtle Art of Not Giving a F*ck</t>
  </si>
  <si>
    <t>Mark Manson</t>
  </si>
  <si>
    <t>September 13, 2016</t>
  </si>
  <si>
    <t>American Prometheus</t>
  </si>
  <si>
    <t>Kai Bird, Martin J. Sherwin</t>
  </si>
  <si>
    <t>May 1, 2006</t>
  </si>
  <si>
    <t>Fast Like a Girl</t>
  </si>
  <si>
    <t>Dr. Mindy Pelz</t>
  </si>
  <si>
    <t>December 27, 2022</t>
  </si>
  <si>
    <t>The Shadow Work Journal 2nd Edition</t>
  </si>
  <si>
    <t>February 28, 2023</t>
  </si>
  <si>
    <t>The Alchemist</t>
  </si>
  <si>
    <t>Paulo Coelho</t>
  </si>
  <si>
    <t>April 15, 2014</t>
  </si>
  <si>
    <t>Love You Forever</t>
  </si>
  <si>
    <t>Robert Munsch, Sheila McGraw</t>
  </si>
  <si>
    <t>September 1, 1995</t>
  </si>
  <si>
    <t>How to Catch a Unicorn</t>
  </si>
  <si>
    <t>Adam Wallace, Andy Elkerton</t>
  </si>
  <si>
    <t>March 5, 2019</t>
  </si>
  <si>
    <t>All the Light We Cannot See</t>
  </si>
  <si>
    <t>Anthony Doerr</t>
  </si>
  <si>
    <t>April 4, 2017</t>
  </si>
  <si>
    <t>The Ballad of Songbirds and Snakes</t>
  </si>
  <si>
    <t>Suzanne Collins</t>
  </si>
  <si>
    <t>August 1, 2023</t>
  </si>
  <si>
    <t>What to Expect When You're Expecting</t>
  </si>
  <si>
    <t>Heidi Murkoff</t>
  </si>
  <si>
    <t>The Last Thing He Told Me</t>
  </si>
  <si>
    <t>Laura Dave</t>
  </si>
  <si>
    <t>March 21, 2023</t>
  </si>
  <si>
    <t>From Crook to Cook: Platinum Recipes from Tha Boss Dogg's Kitchen (Snoop Dogg Cookbook, Celebrity Cookbook with Soul Food Recipes)</t>
  </si>
  <si>
    <t>Snoop Dogg</t>
  </si>
  <si>
    <t>The 5 Love Languages</t>
  </si>
  <si>
    <t>Gary Chapman</t>
  </si>
  <si>
    <t>June 1, 2024</t>
  </si>
  <si>
    <t>My First Learn-to-Write Workbook: Practice for Kids with Pen Control, Line Tracing, Letters, and More!</t>
  </si>
  <si>
    <t>Crystal Radke</t>
  </si>
  <si>
    <t>How to Catch a Mermaid</t>
  </si>
  <si>
    <t xml:space="preserve"> July 17, 2018</t>
  </si>
  <si>
    <t>A Court of Frost and Starlight</t>
  </si>
  <si>
    <t>index</t>
  </si>
  <si>
    <t>Row Labels</t>
  </si>
  <si>
    <t>Grand Total</t>
  </si>
  <si>
    <t>Sum of price</t>
  </si>
  <si>
    <t>Sum of Rating</t>
  </si>
  <si>
    <t>Average of Rating</t>
  </si>
  <si>
    <t>Price Category</t>
  </si>
  <si>
    <t>Budget</t>
  </si>
  <si>
    <t>Mid-range</t>
  </si>
  <si>
    <t>Premium</t>
  </si>
  <si>
    <t>Library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</si>
</sst>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yyyy/mm/dd;@"/>
    <numFmt numFmtId="165" formatCode="[$-409]mmmm\ d\,\ 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0" tint="-4.9989318521683403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vertical="center"/>
    </xf>
    <xf numFmtId="8" fontId="0" fillId="0" borderId="0" xfId="0" applyNumberFormat="1" applyAlignment="1">
      <alignment horizontal="center" vertical="center"/>
    </xf>
    <xf numFmtId="0" fontId="0" fillId="0" borderId="0" xfId="0" applyAlignment="1"/>
    <xf numFmtId="0" fontId="0" fillId="0" borderId="0" xfId="0" applyAlignment="1">
      <alignment horizont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3" fontId="0" fillId="0" borderId="0" xfId="0" applyNumberFormat="1" applyAlignment="1">
      <alignment horizontal="center" vertical="center"/>
    </xf>
    <xf numFmtId="0" fontId="0" fillId="0" borderId="0" xfId="0" applyNumberFormat="1" applyAlignment="1">
      <alignment horizontal="center" vertical="center"/>
    </xf>
    <xf numFmtId="0" fontId="18" fillId="34" borderId="0" xfId="0" applyFont="1"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0" formatCode="General"/>
      <alignment horizontal="general" vertical="bottom" textRotation="0" wrapText="0" indent="0" justifyLastLine="0" shrinkToFit="0" readingOrder="0"/>
    </dxf>
    <dxf>
      <alignment horizontal="center" vertical="center" textRotation="0" wrapText="0" indent="0" justifyLastLine="0" shrinkToFit="0" readingOrder="0"/>
    </dxf>
    <dxf>
      <numFmt numFmtId="165" formatCode="[$-409]mmmm\ d\,\ yyyy;@"/>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0.00_);[Red]\(&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0" indent="0" justifyLastLine="0" shrinkToFit="0" readingOrder="0"/>
    </dxf>
    <dxf>
      <alignment horizontal="center" vertical="center" textRotation="0" wrapText="0" indent="0" justifyLastLine="0" shrinkToFit="0" readingOrder="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books per price!PivotTable1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books per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books per price'!$B$3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books per price'!$A$4:$A$9</c:f>
              <c:strCache>
                <c:ptCount val="5"/>
                <c:pt idx="0">
                  <c:v>The Complete Summer I Turned Pretty Trilogy (Boxed Set): The Summer I Turned Pretty; It's Not Summer Without You; We'll Always Have Summer</c:v>
                </c:pt>
                <c:pt idx="1">
                  <c:v>Can't Hurt Me: Master Your Mind and Defy the Odds</c:v>
                </c:pt>
                <c:pt idx="2">
                  <c:v>Fourth Wing (Special Edition)</c:v>
                </c:pt>
                <c:pt idx="3">
                  <c:v>A Court of Thorns and Roses Paperback Box Set (5 books)</c:v>
                </c:pt>
                <c:pt idx="4">
                  <c:v>Harry Potter Paperback Box Set</c:v>
                </c:pt>
              </c:strCache>
            </c:strRef>
          </c:cat>
          <c:val>
            <c:numRef>
              <c:f>'top 5 books per price'!$B$4:$B$9</c:f>
              <c:numCache>
                <c:formatCode>General</c:formatCode>
                <c:ptCount val="5"/>
                <c:pt idx="0">
                  <c:v>24.62</c:v>
                </c:pt>
                <c:pt idx="1">
                  <c:v>24.99</c:v>
                </c:pt>
                <c:pt idx="2">
                  <c:v>26.91</c:v>
                </c:pt>
                <c:pt idx="3">
                  <c:v>47.9</c:v>
                </c:pt>
                <c:pt idx="4">
                  <c:v>52.62</c:v>
                </c:pt>
              </c:numCache>
            </c:numRef>
          </c:val>
          <c:extLst>
            <c:ext xmlns:c16="http://schemas.microsoft.com/office/drawing/2014/chart" uri="{C3380CC4-5D6E-409C-BE32-E72D297353CC}">
              <c16:uniqueId val="{00000000-4037-4157-A9F5-F687D8E48431}"/>
            </c:ext>
          </c:extLst>
        </c:ser>
        <c:dLbls>
          <c:dLblPos val="outEnd"/>
          <c:showLegendKey val="0"/>
          <c:showVal val="1"/>
          <c:showCatName val="0"/>
          <c:showSerName val="0"/>
          <c:showPercent val="0"/>
          <c:showBubbleSize val="0"/>
        </c:dLbls>
        <c:gapWidth val="219"/>
        <c:overlap val="-27"/>
        <c:axId val="1017540463"/>
        <c:axId val="1017528943"/>
      </c:barChart>
      <c:catAx>
        <c:axId val="101754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28943"/>
        <c:crosses val="autoZero"/>
        <c:auto val="1"/>
        <c:lblAlgn val="ctr"/>
        <c:lblOffset val="100"/>
        <c:noMultiLvlLbl val="0"/>
      </c:catAx>
      <c:valAx>
        <c:axId val="1017528943"/>
        <c:scaling>
          <c:orientation val="minMax"/>
        </c:scaling>
        <c:delete val="1"/>
        <c:axPos val="l"/>
        <c:numFmt formatCode="General" sourceLinked="1"/>
        <c:majorTickMark val="out"/>
        <c:minorTickMark val="none"/>
        <c:tickLblPos val="nextTo"/>
        <c:crossAx val="101754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auther per rating!PivotTable2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auther per</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auther per 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auther per rating'!$A$4:$A$9</c:f>
              <c:strCache>
                <c:ptCount val="5"/>
                <c:pt idx="0">
                  <c:v>Keila Shaheen</c:v>
                </c:pt>
                <c:pt idx="1">
                  <c:v>Adam Wallace, Andy Elkerton</c:v>
                </c:pt>
                <c:pt idx="2">
                  <c:v>Rebecca Yarros</c:v>
                </c:pt>
                <c:pt idx="3">
                  <c:v>Sarah J. Maas</c:v>
                </c:pt>
                <c:pt idx="4">
                  <c:v>Colleen Hoover</c:v>
                </c:pt>
              </c:strCache>
            </c:strRef>
          </c:cat>
          <c:val>
            <c:numRef>
              <c:f>'top 5 auther per rating'!$B$4:$B$9</c:f>
              <c:numCache>
                <c:formatCode>General</c:formatCode>
                <c:ptCount val="5"/>
                <c:pt idx="0">
                  <c:v>9.3000000000000007</c:v>
                </c:pt>
                <c:pt idx="1">
                  <c:v>9.6</c:v>
                </c:pt>
                <c:pt idx="2">
                  <c:v>14.1</c:v>
                </c:pt>
                <c:pt idx="3">
                  <c:v>23.099999999999998</c:v>
                </c:pt>
                <c:pt idx="4">
                  <c:v>23.1</c:v>
                </c:pt>
              </c:numCache>
            </c:numRef>
          </c:val>
          <c:extLst>
            <c:ext xmlns:c16="http://schemas.microsoft.com/office/drawing/2014/chart" uri="{C3380CC4-5D6E-409C-BE32-E72D297353CC}">
              <c16:uniqueId val="{00000000-2F7F-498F-AC8E-588CAE21083A}"/>
            </c:ext>
          </c:extLst>
        </c:ser>
        <c:dLbls>
          <c:dLblPos val="outEnd"/>
          <c:showLegendKey val="0"/>
          <c:showVal val="1"/>
          <c:showCatName val="0"/>
          <c:showSerName val="0"/>
          <c:showPercent val="0"/>
          <c:showBubbleSize val="0"/>
        </c:dLbls>
        <c:gapWidth val="219"/>
        <c:overlap val="-27"/>
        <c:axId val="880176767"/>
        <c:axId val="880181087"/>
      </c:barChart>
      <c:catAx>
        <c:axId val="88017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81087"/>
        <c:crosses val="autoZero"/>
        <c:auto val="1"/>
        <c:lblAlgn val="ctr"/>
        <c:lblOffset val="100"/>
        <c:noMultiLvlLbl val="0"/>
      </c:catAx>
      <c:valAx>
        <c:axId val="880181087"/>
        <c:scaling>
          <c:orientation val="minMax"/>
        </c:scaling>
        <c:delete val="1"/>
        <c:axPos val="l"/>
        <c:numFmt formatCode="General" sourceLinked="1"/>
        <c:majorTickMark val="none"/>
        <c:minorTickMark val="none"/>
        <c:tickLblPos val="nextTo"/>
        <c:crossAx val="88017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genre rating!PivotTable3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genre</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4765840220385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genre 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genre rating'!$A$4:$A$9</c:f>
              <c:strCache>
                <c:ptCount val="5"/>
                <c:pt idx="0">
                  <c:v>Health &amp; Fitness &amp; Dieting</c:v>
                </c:pt>
                <c:pt idx="1">
                  <c:v>Biographies &amp; Memoirs</c:v>
                </c:pt>
                <c:pt idx="2">
                  <c:v>Self-Improvement</c:v>
                </c:pt>
                <c:pt idx="3">
                  <c:v>Reading &amp; Writing</c:v>
                </c:pt>
                <c:pt idx="4">
                  <c:v>Fiction &amp; Action &amp; Adventure</c:v>
                </c:pt>
              </c:strCache>
            </c:strRef>
          </c:cat>
          <c:val>
            <c:numRef>
              <c:f>'top 5 genre rating'!$B$4:$B$9</c:f>
              <c:numCache>
                <c:formatCode>General</c:formatCode>
                <c:ptCount val="5"/>
                <c:pt idx="0">
                  <c:v>28.299999999999997</c:v>
                </c:pt>
                <c:pt idx="1">
                  <c:v>32.1</c:v>
                </c:pt>
                <c:pt idx="2">
                  <c:v>37.699999999999996</c:v>
                </c:pt>
                <c:pt idx="3">
                  <c:v>86.999999999999986</c:v>
                </c:pt>
                <c:pt idx="4">
                  <c:v>149.4</c:v>
                </c:pt>
              </c:numCache>
            </c:numRef>
          </c:val>
          <c:extLst>
            <c:ext xmlns:c16="http://schemas.microsoft.com/office/drawing/2014/chart" uri="{C3380CC4-5D6E-409C-BE32-E72D297353CC}">
              <c16:uniqueId val="{00000001-7B57-4059-9E14-FC33FCDC462E}"/>
            </c:ext>
          </c:extLst>
        </c:ser>
        <c:dLbls>
          <c:dLblPos val="outEnd"/>
          <c:showLegendKey val="0"/>
          <c:showVal val="1"/>
          <c:showCatName val="0"/>
          <c:showSerName val="0"/>
          <c:showPercent val="0"/>
          <c:showBubbleSize val="0"/>
        </c:dLbls>
        <c:gapWidth val="182"/>
        <c:axId val="1858004991"/>
        <c:axId val="1858009311"/>
      </c:barChart>
      <c:catAx>
        <c:axId val="185800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09311"/>
        <c:crosses val="autoZero"/>
        <c:auto val="1"/>
        <c:lblAlgn val="ctr"/>
        <c:lblOffset val="100"/>
        <c:noMultiLvlLbl val="0"/>
      </c:catAx>
      <c:valAx>
        <c:axId val="1858009311"/>
        <c:scaling>
          <c:orientation val="minMax"/>
        </c:scaling>
        <c:delete val="1"/>
        <c:axPos val="b"/>
        <c:numFmt formatCode="General" sourceLinked="1"/>
        <c:majorTickMark val="none"/>
        <c:minorTickMark val="none"/>
        <c:tickLblPos val="nextTo"/>
        <c:crossAx val="185800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2023.xlsx]form per rating!PivotTable4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form per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8864353312302835E-3"/>
              <c:y val="1.6792611251049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7.8864353312302835E-3"/>
              <c:y val="1.6792611251049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'form per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D-4356-BB43-EC1DCDA586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CD9-4602-898B-FF1F87BDEB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D-4356-BB43-EC1DCDA586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ED-4356-BB43-EC1DCDA586CC}"/>
              </c:ext>
            </c:extLst>
          </c:dPt>
          <c:dLbls>
            <c:dLbl>
              <c:idx val="1"/>
              <c:layout>
                <c:manualLayout>
                  <c:x val="7.8864353312302835E-3"/>
                  <c:y val="1.679261125104953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CCD9-4602-898B-FF1F87BDEB5A}"/>
                </c:ext>
              </c:extLst>
            </c:dLbl>
            <c:dLbl>
              <c:idx val="3"/>
              <c:layout>
                <c:manualLayout>
                  <c:x val="7.8864353312302835E-3"/>
                  <c:y val="1.679261125104953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6ED-4356-BB43-EC1DCDA58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'form per rating'!$A$4:$A$8</c:f>
              <c:strCache>
                <c:ptCount val="4"/>
                <c:pt idx="0">
                  <c:v>Board book</c:v>
                </c:pt>
                <c:pt idx="1">
                  <c:v>Cards</c:v>
                </c:pt>
                <c:pt idx="2">
                  <c:v>Hardcover</c:v>
                </c:pt>
                <c:pt idx="3">
                  <c:v>Paperback</c:v>
                </c:pt>
              </c:strCache>
            </c:strRef>
          </c:cat>
          <c:val>
            <c:numRef>
              <c:f>'form per rating'!$B$4:$B$8</c:f>
              <c:numCache>
                <c:formatCode>General</c:formatCode>
                <c:ptCount val="4"/>
                <c:pt idx="0">
                  <c:v>43.4</c:v>
                </c:pt>
                <c:pt idx="1">
                  <c:v>4.8</c:v>
                </c:pt>
                <c:pt idx="2">
                  <c:v>176.80000000000007</c:v>
                </c:pt>
                <c:pt idx="3">
                  <c:v>240.00000000000009</c:v>
                </c:pt>
              </c:numCache>
            </c:numRef>
          </c:val>
          <c:extLst>
            <c:ext xmlns:c16="http://schemas.microsoft.com/office/drawing/2014/chart" uri="{C3380CC4-5D6E-409C-BE32-E72D297353CC}">
              <c16:uniqueId val="{00000000-CCD9-4602-898B-FF1F87BDEB5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2023.xlsx]rating per price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rating per price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w="19050">
            <a:solidFill>
              <a:schemeClr val="lt1"/>
            </a:solidFill>
          </a:ln>
          <a:effectLst/>
        </c:spPr>
        <c:dLbl>
          <c:idx val="0"/>
          <c:layout>
            <c:manualLayout>
              <c:x val="-2.7777777777777779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'rating per price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DD-4827-B0D3-E1981E97D4FC}"/>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62AF-4450-A255-8258636A7AD9}"/>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2-62AF-4450-A255-8258636A7AD9}"/>
              </c:ext>
            </c:extLst>
          </c:dPt>
          <c:dLbls>
            <c:dLbl>
              <c:idx val="2"/>
              <c:layout>
                <c:manualLayout>
                  <c:x val="-2.7777777777777779E-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2AF-4450-A255-8258636A7A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'rating per price category'!$A$4:$A$7</c:f>
              <c:strCache>
                <c:ptCount val="3"/>
                <c:pt idx="0">
                  <c:v>Budget</c:v>
                </c:pt>
                <c:pt idx="1">
                  <c:v>Mid-range</c:v>
                </c:pt>
                <c:pt idx="2">
                  <c:v>Premium</c:v>
                </c:pt>
              </c:strCache>
            </c:strRef>
          </c:cat>
          <c:val>
            <c:numRef>
              <c:f>'rating per price category'!$B$4:$B$7</c:f>
              <c:numCache>
                <c:formatCode>General</c:formatCode>
                <c:ptCount val="3"/>
                <c:pt idx="0">
                  <c:v>210.50000000000017</c:v>
                </c:pt>
                <c:pt idx="1">
                  <c:v>216.49999999999997</c:v>
                </c:pt>
                <c:pt idx="2">
                  <c:v>38.000000000000007</c:v>
                </c:pt>
              </c:numCache>
            </c:numRef>
          </c:val>
          <c:extLst>
            <c:ext xmlns:c16="http://schemas.microsoft.com/office/drawing/2014/chart" uri="{C3380CC4-5D6E-409C-BE32-E72D297353CC}">
              <c16:uniqueId val="{00000000-62AF-4450-A255-8258636A7AD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books per price!PivotTable1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Books Per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32254400908575E-2"/>
          <c:y val="0.1027086383601757"/>
          <c:w val="0.9375354911981828"/>
          <c:h val="0.63863205788881072"/>
        </c:manualLayout>
      </c:layout>
      <c:barChart>
        <c:barDir val="col"/>
        <c:grouping val="clustered"/>
        <c:varyColors val="0"/>
        <c:ser>
          <c:idx val="0"/>
          <c:order val="0"/>
          <c:tx>
            <c:strRef>
              <c:f>'top 5 books per price'!$B$3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books per price'!$A$4:$A$9</c:f>
              <c:strCache>
                <c:ptCount val="5"/>
                <c:pt idx="0">
                  <c:v>The Complete Summer I Turned Pretty Trilogy (Boxed Set): The Summer I Turned Pretty; It's Not Summer Without You; We'll Always Have Summer</c:v>
                </c:pt>
                <c:pt idx="1">
                  <c:v>Can't Hurt Me: Master Your Mind and Defy the Odds</c:v>
                </c:pt>
                <c:pt idx="2">
                  <c:v>Fourth Wing (Special Edition)</c:v>
                </c:pt>
                <c:pt idx="3">
                  <c:v>A Court of Thorns and Roses Paperback Box Set (5 books)</c:v>
                </c:pt>
                <c:pt idx="4">
                  <c:v>Harry Potter Paperback Box Set</c:v>
                </c:pt>
              </c:strCache>
            </c:strRef>
          </c:cat>
          <c:val>
            <c:numRef>
              <c:f>'top 5 books per price'!$B$4:$B$9</c:f>
              <c:numCache>
                <c:formatCode>General</c:formatCode>
                <c:ptCount val="5"/>
                <c:pt idx="0">
                  <c:v>24.62</c:v>
                </c:pt>
                <c:pt idx="1">
                  <c:v>24.99</c:v>
                </c:pt>
                <c:pt idx="2">
                  <c:v>26.91</c:v>
                </c:pt>
                <c:pt idx="3">
                  <c:v>47.9</c:v>
                </c:pt>
                <c:pt idx="4">
                  <c:v>52.62</c:v>
                </c:pt>
              </c:numCache>
            </c:numRef>
          </c:val>
          <c:extLst>
            <c:ext xmlns:c16="http://schemas.microsoft.com/office/drawing/2014/chart" uri="{C3380CC4-5D6E-409C-BE32-E72D297353CC}">
              <c16:uniqueId val="{00000000-3364-46B6-A7FA-9BBEEDE1FEE9}"/>
            </c:ext>
          </c:extLst>
        </c:ser>
        <c:dLbls>
          <c:dLblPos val="outEnd"/>
          <c:showLegendKey val="0"/>
          <c:showVal val="1"/>
          <c:showCatName val="0"/>
          <c:showSerName val="0"/>
          <c:showPercent val="0"/>
          <c:showBubbleSize val="0"/>
        </c:dLbls>
        <c:gapWidth val="219"/>
        <c:overlap val="-27"/>
        <c:axId val="1017540463"/>
        <c:axId val="1017528943"/>
      </c:barChart>
      <c:catAx>
        <c:axId val="101754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28943"/>
        <c:crosses val="autoZero"/>
        <c:auto val="1"/>
        <c:lblAlgn val="ctr"/>
        <c:lblOffset val="100"/>
        <c:noMultiLvlLbl val="0"/>
      </c:catAx>
      <c:valAx>
        <c:axId val="1017528943"/>
        <c:scaling>
          <c:orientation val="minMax"/>
        </c:scaling>
        <c:delete val="1"/>
        <c:axPos val="l"/>
        <c:numFmt formatCode="General" sourceLinked="1"/>
        <c:majorTickMark val="out"/>
        <c:minorTickMark val="none"/>
        <c:tickLblPos val="nextTo"/>
        <c:crossAx val="101754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auther per rating!PivotTable2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Auther Per</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auther per 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auther per rating'!$A$4:$A$9</c:f>
              <c:strCache>
                <c:ptCount val="5"/>
                <c:pt idx="0">
                  <c:v>Keila Shaheen</c:v>
                </c:pt>
                <c:pt idx="1">
                  <c:v>Adam Wallace, Andy Elkerton</c:v>
                </c:pt>
                <c:pt idx="2">
                  <c:v>Rebecca Yarros</c:v>
                </c:pt>
                <c:pt idx="3">
                  <c:v>Sarah J. Maas</c:v>
                </c:pt>
                <c:pt idx="4">
                  <c:v>Colleen Hoover</c:v>
                </c:pt>
              </c:strCache>
            </c:strRef>
          </c:cat>
          <c:val>
            <c:numRef>
              <c:f>'top 5 auther per rating'!$B$4:$B$9</c:f>
              <c:numCache>
                <c:formatCode>General</c:formatCode>
                <c:ptCount val="5"/>
                <c:pt idx="0">
                  <c:v>9.3000000000000007</c:v>
                </c:pt>
                <c:pt idx="1">
                  <c:v>9.6</c:v>
                </c:pt>
                <c:pt idx="2">
                  <c:v>14.1</c:v>
                </c:pt>
                <c:pt idx="3">
                  <c:v>23.099999999999998</c:v>
                </c:pt>
                <c:pt idx="4">
                  <c:v>23.1</c:v>
                </c:pt>
              </c:numCache>
            </c:numRef>
          </c:val>
          <c:extLst>
            <c:ext xmlns:c16="http://schemas.microsoft.com/office/drawing/2014/chart" uri="{C3380CC4-5D6E-409C-BE32-E72D297353CC}">
              <c16:uniqueId val="{00000000-5A37-4E8E-A02E-97099D1A3F8D}"/>
            </c:ext>
          </c:extLst>
        </c:ser>
        <c:dLbls>
          <c:dLblPos val="outEnd"/>
          <c:showLegendKey val="0"/>
          <c:showVal val="1"/>
          <c:showCatName val="0"/>
          <c:showSerName val="0"/>
          <c:showPercent val="0"/>
          <c:showBubbleSize val="0"/>
        </c:dLbls>
        <c:gapWidth val="219"/>
        <c:overlap val="-27"/>
        <c:axId val="880176767"/>
        <c:axId val="880181087"/>
      </c:barChart>
      <c:catAx>
        <c:axId val="88017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81087"/>
        <c:crosses val="autoZero"/>
        <c:auto val="1"/>
        <c:lblAlgn val="ctr"/>
        <c:lblOffset val="100"/>
        <c:noMultiLvlLbl val="0"/>
      </c:catAx>
      <c:valAx>
        <c:axId val="880181087"/>
        <c:scaling>
          <c:orientation val="minMax"/>
        </c:scaling>
        <c:delete val="1"/>
        <c:axPos val="l"/>
        <c:numFmt formatCode="General" sourceLinked="1"/>
        <c:majorTickMark val="none"/>
        <c:minorTickMark val="none"/>
        <c:tickLblPos val="nextTo"/>
        <c:crossAx val="88017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2023.xlsx]top 5 genre rating!PivotTable3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Genre</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4765840220385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4765840220385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4.4765840220385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genre 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genre rating'!$A$4:$A$9</c:f>
              <c:strCache>
                <c:ptCount val="5"/>
                <c:pt idx="0">
                  <c:v>Health &amp; Fitness &amp; Dieting</c:v>
                </c:pt>
                <c:pt idx="1">
                  <c:v>Biographies &amp; Memoirs</c:v>
                </c:pt>
                <c:pt idx="2">
                  <c:v>Self-Improvement</c:v>
                </c:pt>
                <c:pt idx="3">
                  <c:v>Reading &amp; Writing</c:v>
                </c:pt>
                <c:pt idx="4">
                  <c:v>Fiction &amp; Action &amp; Adventure</c:v>
                </c:pt>
              </c:strCache>
            </c:strRef>
          </c:cat>
          <c:val>
            <c:numRef>
              <c:f>'top 5 genre rating'!$B$4:$B$9</c:f>
              <c:numCache>
                <c:formatCode>General</c:formatCode>
                <c:ptCount val="5"/>
                <c:pt idx="0">
                  <c:v>28.299999999999997</c:v>
                </c:pt>
                <c:pt idx="1">
                  <c:v>32.1</c:v>
                </c:pt>
                <c:pt idx="2">
                  <c:v>37.699999999999996</c:v>
                </c:pt>
                <c:pt idx="3">
                  <c:v>86.999999999999986</c:v>
                </c:pt>
                <c:pt idx="4">
                  <c:v>149.4</c:v>
                </c:pt>
              </c:numCache>
            </c:numRef>
          </c:val>
          <c:extLst>
            <c:ext xmlns:c16="http://schemas.microsoft.com/office/drawing/2014/chart" uri="{C3380CC4-5D6E-409C-BE32-E72D297353CC}">
              <c16:uniqueId val="{00000000-18A8-4182-BB6A-7D71EC21344E}"/>
            </c:ext>
          </c:extLst>
        </c:ser>
        <c:dLbls>
          <c:dLblPos val="outEnd"/>
          <c:showLegendKey val="0"/>
          <c:showVal val="1"/>
          <c:showCatName val="0"/>
          <c:showSerName val="0"/>
          <c:showPercent val="0"/>
          <c:showBubbleSize val="0"/>
        </c:dLbls>
        <c:gapWidth val="182"/>
        <c:axId val="1858004991"/>
        <c:axId val="1858009311"/>
      </c:barChart>
      <c:catAx>
        <c:axId val="185800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09311"/>
        <c:crosses val="autoZero"/>
        <c:auto val="1"/>
        <c:lblAlgn val="ctr"/>
        <c:lblOffset val="100"/>
        <c:noMultiLvlLbl val="0"/>
      </c:catAx>
      <c:valAx>
        <c:axId val="1858009311"/>
        <c:scaling>
          <c:orientation val="minMax"/>
        </c:scaling>
        <c:delete val="1"/>
        <c:axPos val="b"/>
        <c:numFmt formatCode="General" sourceLinked="1"/>
        <c:majorTickMark val="none"/>
        <c:minorTickMark val="none"/>
        <c:tickLblPos val="nextTo"/>
        <c:crossAx val="185800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sellin books 2023.xlsx]rating per price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Rating Per Price Category</a:t>
            </a:r>
          </a:p>
        </c:rich>
      </c:tx>
      <c:layout>
        <c:manualLayout>
          <c:xMode val="edge"/>
          <c:yMode val="edge"/>
          <c:x val="0.32194354342766879"/>
          <c:y val="2.2296544035674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75000"/>
            </a:schemeClr>
          </a:solidFill>
          <a:ln w="19050">
            <a:solidFill>
              <a:schemeClr val="lt1"/>
            </a:solidFill>
          </a:ln>
          <a:effectLst/>
        </c:spPr>
        <c:dLbl>
          <c:idx val="0"/>
          <c:layout>
            <c:manualLayout>
              <c:x val="-2.7777777777777779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dLbl>
          <c:idx val="0"/>
          <c:layout>
            <c:manualLayout>
              <c:x val="-2.7777777777777779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4">
              <a:lumMod val="75000"/>
            </a:schemeClr>
          </a:solidFill>
          <a:ln w="19050">
            <a:solidFill>
              <a:schemeClr val="lt1"/>
            </a:solidFill>
          </a:ln>
          <a:effectLst/>
        </c:spPr>
        <c:dLbl>
          <c:idx val="0"/>
          <c:layout>
            <c:manualLayout>
              <c:x val="-2.3196392181452096E-2"/>
              <c:y val="2.304599701280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'rating per price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A1-4295-946B-BC3005D10691}"/>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42A1-4295-946B-BC3005D10691}"/>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42A1-4295-946B-BC3005D10691}"/>
              </c:ext>
            </c:extLst>
          </c:dPt>
          <c:dLbls>
            <c:dLbl>
              <c:idx val="2"/>
              <c:layout>
                <c:manualLayout>
                  <c:x val="-2.3196392181452096E-2"/>
                  <c:y val="2.3045997012804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A1-4295-946B-BC3005D106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'rating per price category'!$A$4:$A$7</c:f>
              <c:strCache>
                <c:ptCount val="3"/>
                <c:pt idx="0">
                  <c:v>Budget</c:v>
                </c:pt>
                <c:pt idx="1">
                  <c:v>Mid-range</c:v>
                </c:pt>
                <c:pt idx="2">
                  <c:v>Premium</c:v>
                </c:pt>
              </c:strCache>
            </c:strRef>
          </c:cat>
          <c:val>
            <c:numRef>
              <c:f>'rating per price category'!$B$4:$B$7</c:f>
              <c:numCache>
                <c:formatCode>General</c:formatCode>
                <c:ptCount val="3"/>
                <c:pt idx="0">
                  <c:v>210.50000000000017</c:v>
                </c:pt>
                <c:pt idx="1">
                  <c:v>216.49999999999997</c:v>
                </c:pt>
                <c:pt idx="2">
                  <c:v>38.000000000000007</c:v>
                </c:pt>
              </c:numCache>
            </c:numRef>
          </c:val>
          <c:extLst>
            <c:ext xmlns:c16="http://schemas.microsoft.com/office/drawing/2014/chart" uri="{C3380CC4-5D6E-409C-BE32-E72D297353CC}">
              <c16:uniqueId val="{00000006-42A1-4295-946B-BC3005D1069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2727960</xdr:colOff>
      <xdr:row>10</xdr:row>
      <xdr:rowOff>0</xdr:rowOff>
    </xdr:from>
    <xdr:to>
      <xdr:col>2</xdr:col>
      <xdr:colOff>350520</xdr:colOff>
      <xdr:row>31</xdr:row>
      <xdr:rowOff>106680</xdr:rowOff>
    </xdr:to>
    <xdr:graphicFrame macro="">
      <xdr:nvGraphicFramePr>
        <xdr:cNvPr id="2" name="Chart 1">
          <a:extLst>
            <a:ext uri="{FF2B5EF4-FFF2-40B4-BE49-F238E27FC236}">
              <a16:creationId xmlns:a16="http://schemas.microsoft.com/office/drawing/2014/main" id="{F8D10914-FD15-DDE9-835E-9C017964C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121920</xdr:rowOff>
    </xdr:from>
    <xdr:to>
      <xdr:col>10</xdr:col>
      <xdr:colOff>304800</xdr:colOff>
      <xdr:row>21</xdr:row>
      <xdr:rowOff>121920</xdr:rowOff>
    </xdr:to>
    <xdr:graphicFrame macro="">
      <xdr:nvGraphicFramePr>
        <xdr:cNvPr id="2" name="Chart 1">
          <a:extLst>
            <a:ext uri="{FF2B5EF4-FFF2-40B4-BE49-F238E27FC236}">
              <a16:creationId xmlns:a16="http://schemas.microsoft.com/office/drawing/2014/main" id="{6660B2B9-660E-C979-AB06-FFD07C766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175260</xdr:colOff>
      <xdr:row>3</xdr:row>
      <xdr:rowOff>15240</xdr:rowOff>
    </xdr:from>
    <xdr:to>
      <xdr:col>11</xdr:col>
      <xdr:colOff>579120</xdr:colOff>
      <xdr:row>23</xdr:row>
      <xdr:rowOff>45720</xdr:rowOff>
    </xdr:to>
    <xdr:graphicFrame macro="">
      <xdr:nvGraphicFramePr>
        <xdr:cNvPr id="2" name="Chart 1">
          <a:extLst>
            <a:ext uri="{FF2B5EF4-FFF2-40B4-BE49-F238E27FC236}">
              <a16:creationId xmlns:a16="http://schemas.microsoft.com/office/drawing/2014/main" id="{DEB13FBA-1AD5-2BF1-B6C2-154F71178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6</xdr:row>
      <xdr:rowOff>121920</xdr:rowOff>
    </xdr:from>
    <xdr:to>
      <xdr:col>12</xdr:col>
      <xdr:colOff>7620</xdr:colOff>
      <xdr:row>23</xdr:row>
      <xdr:rowOff>38100</xdr:rowOff>
    </xdr:to>
    <xdr:graphicFrame macro="">
      <xdr:nvGraphicFramePr>
        <xdr:cNvPr id="3" name="Chart 2">
          <a:extLst>
            <a:ext uri="{FF2B5EF4-FFF2-40B4-BE49-F238E27FC236}">
              <a16:creationId xmlns:a16="http://schemas.microsoft.com/office/drawing/2014/main" id="{890AB31A-4F8A-5427-585C-19D7C70C0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137160</xdr:colOff>
      <xdr:row>2</xdr:row>
      <xdr:rowOff>106680</xdr:rowOff>
    </xdr:from>
    <xdr:to>
      <xdr:col>10</xdr:col>
      <xdr:colOff>541020</xdr:colOff>
      <xdr:row>17</xdr:row>
      <xdr:rowOff>121920</xdr:rowOff>
    </xdr:to>
    <xdr:graphicFrame macro="">
      <xdr:nvGraphicFramePr>
        <xdr:cNvPr id="2" name="Chart 1">
          <a:extLst>
            <a:ext uri="{FF2B5EF4-FFF2-40B4-BE49-F238E27FC236}">
              <a16:creationId xmlns:a16="http://schemas.microsoft.com/office/drawing/2014/main" id="{A327FCD4-5ECA-EF3E-43B3-ECF932550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198120</xdr:colOff>
      <xdr:row>3</xdr:row>
      <xdr:rowOff>22860</xdr:rowOff>
    </xdr:from>
    <xdr:to>
      <xdr:col>23</xdr:col>
      <xdr:colOff>403860</xdr:colOff>
      <xdr:row>36</xdr:row>
      <xdr:rowOff>152400</xdr:rowOff>
    </xdr:to>
    <xdr:graphicFrame macro="">
      <xdr:nvGraphicFramePr>
        <xdr:cNvPr id="2" name="Chart 1">
          <a:extLst>
            <a:ext uri="{FF2B5EF4-FFF2-40B4-BE49-F238E27FC236}">
              <a16:creationId xmlns:a16="http://schemas.microsoft.com/office/drawing/2014/main" id="{EFD63345-CDC7-4727-8E88-9E6495153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83820</xdr:rowOff>
    </xdr:from>
    <xdr:to>
      <xdr:col>7</xdr:col>
      <xdr:colOff>480060</xdr:colOff>
      <xdr:row>36</xdr:row>
      <xdr:rowOff>99060</xdr:rowOff>
    </xdr:to>
    <xdr:graphicFrame macro="">
      <xdr:nvGraphicFramePr>
        <xdr:cNvPr id="3" name="Chart 2">
          <a:extLst>
            <a:ext uri="{FF2B5EF4-FFF2-40B4-BE49-F238E27FC236}">
              <a16:creationId xmlns:a16="http://schemas.microsoft.com/office/drawing/2014/main" id="{3C10939D-5B95-4F8B-967A-075C05184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510540</xdr:colOff>
      <xdr:row>18</xdr:row>
      <xdr:rowOff>68580</xdr:rowOff>
    </xdr:from>
    <xdr:to>
      <xdr:col>16</xdr:col>
      <xdr:colOff>60960</xdr:colOff>
      <xdr:row>36</xdr:row>
      <xdr:rowOff>91440</xdr:rowOff>
    </xdr:to>
    <xdr:graphicFrame macro="">
      <xdr:nvGraphicFramePr>
        <xdr:cNvPr id="4" name="Chart 3">
          <a:extLst>
            <a:ext uri="{FF2B5EF4-FFF2-40B4-BE49-F238E27FC236}">
              <a16:creationId xmlns:a16="http://schemas.microsoft.com/office/drawing/2014/main" id="{39B7C0B7-926D-4979-ADF5-D708D62BD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121920</xdr:colOff>
      <xdr:row>3</xdr:row>
      <xdr:rowOff>30480</xdr:rowOff>
    </xdr:from>
    <xdr:to>
      <xdr:col>7</xdr:col>
      <xdr:colOff>571500</xdr:colOff>
      <xdr:row>12</xdr:row>
      <xdr:rowOff>167640</xdr:rowOff>
    </xdr:to>
    <mc:AlternateContent xmlns:mc="http://schemas.openxmlformats.org/markup-compatibility/2006" xmlns:a14="http://schemas.microsoft.com/office/drawing/2010/main">
      <mc:Choice Requires="a14">
        <xdr:graphicFrame macro="">
          <xdr:nvGraphicFramePr>
            <xdr:cNvPr id="7" name="form">
              <a:extLst>
                <a:ext uri="{FF2B5EF4-FFF2-40B4-BE49-F238E27FC236}">
                  <a16:creationId xmlns:a16="http://schemas.microsoft.com/office/drawing/2014/main" id="{9D688E84-FFC9-AFF4-7B63-466793D80BF1}"/>
                </a:ext>
              </a:extLst>
            </xdr:cNvPr>
            <xdr:cNvGraphicFramePr/>
          </xdr:nvGraphicFramePr>
          <xdr:xfrm>
            <a:off x="0" y="0"/>
            <a:ext cx="0" cy="0"/>
          </xdr:xfrm>
          <a:graphic>
            <a:graphicData uri="http://schemas.microsoft.com/office/drawing/2010/slicer">
              <sle:slicer xmlns:sle="http://schemas.microsoft.com/office/drawing/2010/slicer" name="form"/>
            </a:graphicData>
          </a:graphic>
        </xdr:graphicFrame>
      </mc:Choice>
      <mc:Fallback xmlns="">
        <xdr:sp macro="" textlink="">
          <xdr:nvSpPr>
            <xdr:cNvPr id="0" name=""/>
            <xdr:cNvSpPr>
              <a:spLocks noTextEdit="1"/>
            </xdr:cNvSpPr>
          </xdr:nvSpPr>
          <xdr:spPr>
            <a:xfrm>
              <a:off x="3169920" y="579120"/>
              <a:ext cx="16687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22860</xdr:rowOff>
    </xdr:from>
    <xdr:to>
      <xdr:col>5</xdr:col>
      <xdr:colOff>68580</xdr:colOff>
      <xdr:row>12</xdr:row>
      <xdr:rowOff>175260</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A749A779-53BF-83FA-E533-A17C3619EC1E}"/>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0" y="571500"/>
              <a:ext cx="31623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13</xdr:row>
      <xdr:rowOff>60960</xdr:rowOff>
    </xdr:from>
    <xdr:to>
      <xdr:col>3</xdr:col>
      <xdr:colOff>525780</xdr:colOff>
      <xdr:row>17</xdr:row>
      <xdr:rowOff>160020</xdr:rowOff>
    </xdr:to>
    <xdr:grpSp>
      <xdr:nvGrpSpPr>
        <xdr:cNvPr id="17" name="Group 16">
          <a:extLst>
            <a:ext uri="{FF2B5EF4-FFF2-40B4-BE49-F238E27FC236}">
              <a16:creationId xmlns:a16="http://schemas.microsoft.com/office/drawing/2014/main" id="{72BF07EE-5CC9-DCFC-F7BB-4C090487EB2B}"/>
            </a:ext>
          </a:extLst>
        </xdr:cNvPr>
        <xdr:cNvGrpSpPr/>
      </xdr:nvGrpSpPr>
      <xdr:grpSpPr>
        <a:xfrm>
          <a:off x="38100" y="2438400"/>
          <a:ext cx="2316480" cy="830580"/>
          <a:chOff x="30480" y="1409700"/>
          <a:chExt cx="2316480" cy="952500"/>
        </a:xfrm>
      </xdr:grpSpPr>
      <xdr:sp macro="" textlink="">
        <xdr:nvSpPr>
          <xdr:cNvPr id="6" name="Rectangle: Rounded Corners 5">
            <a:extLst>
              <a:ext uri="{FF2B5EF4-FFF2-40B4-BE49-F238E27FC236}">
                <a16:creationId xmlns:a16="http://schemas.microsoft.com/office/drawing/2014/main" id="{C9F3B46F-5ECF-76E5-96D9-1222BD81F119}"/>
              </a:ext>
            </a:extLst>
          </xdr:cNvPr>
          <xdr:cNvSpPr/>
        </xdr:nvSpPr>
        <xdr:spPr>
          <a:xfrm>
            <a:off x="30480" y="1409700"/>
            <a:ext cx="2316480" cy="952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Average</a:t>
            </a:r>
            <a:r>
              <a:rPr lang="en-US" sz="1800" baseline="0"/>
              <a:t> Rating</a:t>
            </a:r>
            <a:endParaRPr lang="en-US" sz="1800"/>
          </a:p>
        </xdr:txBody>
      </xdr:sp>
      <xdr:sp macro="" textlink="'best sellin books 2023'!L14">
        <xdr:nvSpPr>
          <xdr:cNvPr id="9" name="TextBox 8">
            <a:extLst>
              <a:ext uri="{FF2B5EF4-FFF2-40B4-BE49-F238E27FC236}">
                <a16:creationId xmlns:a16="http://schemas.microsoft.com/office/drawing/2014/main" id="{637D0D68-B060-16D9-50AC-BBB9C7C240B3}"/>
              </a:ext>
            </a:extLst>
          </xdr:cNvPr>
          <xdr:cNvSpPr txBox="1"/>
        </xdr:nvSpPr>
        <xdr:spPr>
          <a:xfrm>
            <a:off x="475237" y="1842655"/>
            <a:ext cx="1427326" cy="409339"/>
          </a:xfrm>
          <a:prstGeom prst="rect">
            <a:avLst/>
          </a:prstGeom>
          <a:noFill/>
          <a:ln w="9525" cmpd="sng">
            <a:noFill/>
          </a:ln>
          <a:effectLst>
            <a:innerShdw blurRad="63500" dist="50800" dir="2700000">
              <a:prstClr val="black">
                <a:alpha val="50000"/>
              </a:prstClr>
            </a:inn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1E7CB8-4CC0-4D8D-95FE-8E0151694E69}" type="TxLink">
              <a:rPr lang="en-US" sz="2000" b="0" i="0" u="none" strike="noStrike">
                <a:solidFill>
                  <a:schemeClr val="bg1"/>
                </a:solidFill>
                <a:latin typeface="Aptos Narrow"/>
              </a:rPr>
              <a:pPr algn="ctr"/>
              <a:t>4.65</a:t>
            </a:fld>
            <a:endParaRPr lang="en-US" sz="4000">
              <a:solidFill>
                <a:schemeClr val="bg1"/>
              </a:solidFill>
            </a:endParaRPr>
          </a:p>
        </xdr:txBody>
      </xdr:sp>
    </xdr:grpSp>
    <xdr:clientData/>
  </xdr:twoCellAnchor>
  <xdr:twoCellAnchor>
    <xdr:from>
      <xdr:col>3</xdr:col>
      <xdr:colOff>586740</xdr:colOff>
      <xdr:row>13</xdr:row>
      <xdr:rowOff>60960</xdr:rowOff>
    </xdr:from>
    <xdr:to>
      <xdr:col>7</xdr:col>
      <xdr:colOff>449580</xdr:colOff>
      <xdr:row>17</xdr:row>
      <xdr:rowOff>175260</xdr:rowOff>
    </xdr:to>
    <xdr:grpSp>
      <xdr:nvGrpSpPr>
        <xdr:cNvPr id="16" name="Group 15">
          <a:extLst>
            <a:ext uri="{FF2B5EF4-FFF2-40B4-BE49-F238E27FC236}">
              <a16:creationId xmlns:a16="http://schemas.microsoft.com/office/drawing/2014/main" id="{C6BFA30A-D1B6-CC2C-AEF3-9CE5E4638666}"/>
            </a:ext>
          </a:extLst>
        </xdr:cNvPr>
        <xdr:cNvGrpSpPr/>
      </xdr:nvGrpSpPr>
      <xdr:grpSpPr>
        <a:xfrm>
          <a:off x="2415540" y="2438400"/>
          <a:ext cx="2301240" cy="845820"/>
          <a:chOff x="2385060" y="1257300"/>
          <a:chExt cx="2339340" cy="944880"/>
        </a:xfrm>
      </xdr:grpSpPr>
      <xdr:sp macro="" textlink="">
        <xdr:nvSpPr>
          <xdr:cNvPr id="11" name="Rectangle: Rounded Corners 10">
            <a:extLst>
              <a:ext uri="{FF2B5EF4-FFF2-40B4-BE49-F238E27FC236}">
                <a16:creationId xmlns:a16="http://schemas.microsoft.com/office/drawing/2014/main" id="{FC686521-62C9-401C-6791-A499D8E2295D}"/>
              </a:ext>
            </a:extLst>
          </xdr:cNvPr>
          <xdr:cNvSpPr/>
        </xdr:nvSpPr>
        <xdr:spPr>
          <a:xfrm>
            <a:off x="2385060" y="1257300"/>
            <a:ext cx="2339340" cy="9448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bg1"/>
                </a:solidFill>
              </a:rPr>
              <a:t>Total</a:t>
            </a:r>
            <a:r>
              <a:rPr lang="en-US" sz="1800" baseline="0">
                <a:solidFill>
                  <a:schemeClr val="bg1"/>
                </a:solidFill>
              </a:rPr>
              <a:t> Sales</a:t>
            </a:r>
            <a:endParaRPr lang="en-US" sz="1800">
              <a:solidFill>
                <a:schemeClr val="bg1"/>
              </a:solidFill>
            </a:endParaRPr>
          </a:p>
        </xdr:txBody>
      </xdr:sp>
      <xdr:sp macro="" textlink="'best sellin books 2023'!L10">
        <xdr:nvSpPr>
          <xdr:cNvPr id="12" name="TextBox 11">
            <a:extLst>
              <a:ext uri="{FF2B5EF4-FFF2-40B4-BE49-F238E27FC236}">
                <a16:creationId xmlns:a16="http://schemas.microsoft.com/office/drawing/2014/main" id="{98084F8C-EAB5-9BCE-CED7-69459219151B}"/>
              </a:ext>
            </a:extLst>
          </xdr:cNvPr>
          <xdr:cNvSpPr txBox="1"/>
        </xdr:nvSpPr>
        <xdr:spPr>
          <a:xfrm>
            <a:off x="2872740" y="1706880"/>
            <a:ext cx="1424940" cy="37338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C6E62C-B249-4625-8AC0-24824837B3DE}" type="TxLink">
              <a:rPr lang="en-US" sz="2000" b="0" i="0" u="none" strike="noStrike">
                <a:solidFill>
                  <a:schemeClr val="bg1"/>
                </a:solidFill>
                <a:latin typeface="Aptos Narrow"/>
              </a:rPr>
              <a:pPr algn="ctr"/>
              <a:t>1,190</a:t>
            </a:fld>
            <a:endParaRPr lang="en-US" sz="5400">
              <a:solidFill>
                <a:schemeClr val="bg1"/>
              </a:solidFill>
            </a:endParaRPr>
          </a:p>
        </xdr:txBody>
      </xdr:sp>
    </xdr:grpSp>
    <xdr:clientData/>
  </xdr:twoCellAnchor>
  <xdr:twoCellAnchor>
    <xdr:from>
      <xdr:col>8</xdr:col>
      <xdr:colOff>7620</xdr:colOff>
      <xdr:row>3</xdr:row>
      <xdr:rowOff>30480</xdr:rowOff>
    </xdr:from>
    <xdr:to>
      <xdr:col>16</xdr:col>
      <xdr:colOff>106680</xdr:colOff>
      <xdr:row>18</xdr:row>
      <xdr:rowOff>45720</xdr:rowOff>
    </xdr:to>
    <xdr:graphicFrame macro="">
      <xdr:nvGraphicFramePr>
        <xdr:cNvPr id="10" name="Chart 9">
          <a:extLst>
            <a:ext uri="{FF2B5EF4-FFF2-40B4-BE49-F238E27FC236}">
              <a16:creationId xmlns:a16="http://schemas.microsoft.com/office/drawing/2014/main" id="{66677C59-D425-41F8-BCC2-DCB6FD4D2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raya" refreshedDate="46072.727495949075" createdVersion="8" refreshedVersion="8" minRefreshableVersion="3" recordCount="100" xr:uid="{CD08EF50-7784-4D17-83C4-18AE1FBA1824}">
  <cacheSource type="worksheet">
    <worksheetSource name="Table1"/>
  </cacheSource>
  <cacheFields count="11">
    <cacheField name="index" numFmtId="0">
      <sharedItems containsSemiMixedTypes="0" containsString="0" containsNumber="1" containsInteger="1" minValue="1" maxValue="100"/>
    </cacheField>
    <cacheField name="Book name" numFmtId="0">
      <sharedItems count="100">
        <s v="Atomic Habits: An Easy &amp; Proven Way to Build Good Habits &amp; Break Bad Ones"/>
        <s v="Iron Flame (Standard Edition) (The Empyrean, 2)"/>
        <s v="Spare"/>
        <s v="Fourth Wing"/>
        <s v="The Woman in Me"/>
        <s v="Lessons in Chemistry: A Novel"/>
        <s v="The 48 Laws of Power"/>
        <s v="The Body Keeps the Score: Brain, Mind, and Body in the Healing of Trauma"/>
        <s v="It Starts with Us: A Novel (It Ends with Us)"/>
        <s v="Outlive: The Science and Art of Longevity"/>
        <s v="It Ends with Us: A Novel"/>
        <s v="The Housemaid"/>
        <s v="The Very Hungry Caterpillar"/>
        <s v="Killers of the Flower Moon: The Osage Murders and the Birth of the FBI"/>
        <s v="Verity"/>
        <s v="The Seven Husbands of Evelyn Hugo"/>
        <s v="The Creative Act: A Way of Being"/>
        <s v="Taylor Swift: A Little Golden Book Biography"/>
        <s v="The Four Agreements: A Practical Guide to Personal Freedom"/>
        <s v="Demon Copperhead: A Novel"/>
        <s v="A Court of Thorns and Roses"/>
        <s v="Interesting Facts For Curious Minds"/>
        <s v="No Brainer (Diary of a Wimpy Kid #18) (Volume 18)"/>
        <s v="I Love You to the Moon and Back"/>
        <s v="Dog Man: Twenty Thousand Fleas Under the Sea: A Graphic Novel (Dog Man #11): From the Creator of Captain Underpants"/>
        <s v="Things We Never Got Over (Knockemout)"/>
        <s v="The Covenant of Water (Oprah's Book Club)"/>
        <s v="Brown Bear, Brown Bear, What Do You See?"/>
        <s v="Baking Yesteryear: The Best Recipes from the 1900s to the 1980s"/>
        <s v="I Love You Like No Otter: A Funny and Sweet Valentine's Day Board Book for Babies and Toddlers (Punderland)"/>
        <s v="Friends, Lovers, and the Big Terrible Thing"/>
        <s v="Rich Dad Poor Dad"/>
        <s v="The Wager: A Tale of Shipwreck, Mutiny and Murder"/>
        <s v="Oh, the Places You'll Go!"/>
        <s v="My First Library: Boxset of 10 Board Books for Kids"/>
        <s v="If He Had Been with Me"/>
        <s v="Goodnight Moon"/>
        <s v="Tomorrow, and Tomorrow, and Tomorrow"/>
        <s v="World of Eric Carle, Around the Farm 30"/>
        <s v="The Wonderful Things You Will Be"/>
        <s v="Fourth Wing (Special Edition)"/>
        <s v="The Silent Patient"/>
        <s v="Remarkably Bright Creatures: A Read with Jenna Pick"/>
        <s v="The Psychology of Money: Timeless lessons on wealth, greed, and happiness"/>
        <s v="The Shadow Work Journal"/>
        <s v="Oath and Honor: A Memoir and a Warning"/>
        <s v="Where's Bluey?: A Search-and-Find Book"/>
        <s v="Twisted Love"/>
        <s v="Icebreaker"/>
        <s v="Things We Hide from the Light"/>
        <s v="Reminders of Him: A Novel"/>
        <s v="A Court of Mist and Fury"/>
        <s v="The Legend of Zelda™: Tears of the Kingdom – The Complete Official Guide: Collector's Edition"/>
        <s v="Elon Musk"/>
        <s v="I Will Teach You to Be Rich: No Guilt. No Excuses. Just a 6-Week Program That Works (Second Edition)"/>
        <s v="Haunting Adeline"/>
        <s v="How to Catch a Dinosaur"/>
        <s v="Ugly Love: A Novel"/>
        <s v="If Animals Kissed Good Night"/>
        <s v="Happy Place"/>
        <s v="Twisted Games"/>
        <s v="Chicka Chicka Boom Boom"/>
        <s v="Hello Beautiful (Oprah's Book Club): A Novel"/>
        <s v="The Democrat Party Hates America"/>
        <s v="A Little Life"/>
        <s v="Meditations"/>
        <s v="Holly"/>
        <s v="The Heaven &amp; Earth Grocery Store"/>
        <s v="Scholastic Flash Cards: Sight Words"/>
        <s v="Think and Grow Rich: The Landmark Bestseller Now Revised and Updated for the 21st Century (Think and Grow Rich Series)"/>
        <s v="Daisy Jones &amp; The Six: Reese's Book Club: A Novel"/>
        <s v="A Court of Thorns and Roses Paperback Box Set (5 books)"/>
        <s v="How to Win Friends &amp; Influence People"/>
        <s v="The Complete Cookbook for Young Chefs"/>
        <s v="The Boy, the Mole, the Fox and the Horse: Inspiring Conversations on Hope, Love and Personal Growth"/>
        <s v="Can't Hurt Me: Master Your Mind and Defy the Odds"/>
        <s v="The Complete Summer I Turned Pretty Trilogy (Boxed Set): The Summer I Turned Pretty; It's Not Summer Without You; We'll Always Have Summer"/>
        <s v="The Exchange: After The Firm (The Firm Series)"/>
        <s v="Dragons Love Tacos"/>
        <s v="The Nightingale: A Novel"/>
        <s v="Harry Potter Paperback Box Set"/>
        <s v="Adult Children of Emotionally Immature Parents"/>
        <s v="Stop Overthinking"/>
        <s v="A Court of Wings and Ruin"/>
        <s v="The Subtle Art of Not Giving a F*ck"/>
        <s v="American Prometheus"/>
        <s v="Fast Like a Girl"/>
        <s v="The Shadow Work Journal 2nd Edition"/>
        <s v="The Alchemist"/>
        <s v="Love You Forever"/>
        <s v="How to Catch a Unicorn"/>
        <s v="All the Light We Cannot See"/>
        <s v="The Ballad of Songbirds and Snakes"/>
        <s v="What to Expect When You're Expecting"/>
        <s v="The Last Thing He Told Me"/>
        <s v="From Crook to Cook: Platinum Recipes from Tha Boss Dogg's Kitchen (Snoop Dogg Cookbook, Celebrity Cookbook with Soul Food Recipes)"/>
        <s v="The 5 Love Languages"/>
        <s v="My First Learn-to-Write Workbook: Practice for Kids with Pen Control, Line Tracing, Letters, and More!"/>
        <s v="How to Catch a Mermaid"/>
        <s v="A Court of Frost and Starlight"/>
      </sharedItems>
    </cacheField>
    <cacheField name="Author" numFmtId="0">
      <sharedItems count="84">
        <s v="James Clear"/>
        <s v="Rebecca Yarros"/>
        <s v="Prince Harry  The Duke of Sussex"/>
        <s v="Britney Spears"/>
        <s v="Bonnie Garmus"/>
        <s v="Robert Greene"/>
        <s v="Bessel van der Kolk M.D."/>
        <s v="Colleen Hoover"/>
        <s v="Peter Attia MD"/>
        <s v="Freida McFadden"/>
        <s v="Eric Carle"/>
        <s v="David Grann"/>
        <s v="Taylor Jenkins Reid"/>
        <s v="Rick Rubin"/>
        <s v="Wendy Loggia, Elisa Chavarri"/>
        <s v="Janet Mills, Don Miguel Ruiz"/>
        <s v="Barbara Kingsolver"/>
        <s v="Sarah J. Maas"/>
        <s v="Jordan Moore"/>
        <s v="Jeff Kinney"/>
        <s v="Amelia Hepworth"/>
        <s v="Dav Pilkey"/>
        <s v="Lucy Score"/>
        <s v="Abraham Verghese"/>
        <s v="Bill Martin Jr. , Eric Carle"/>
        <s v="B. Dylan Hollis"/>
        <s v="Rose Rossner"/>
        <s v="Matthew Perry"/>
        <s v="Robert T. Kiyosaki"/>
        <s v="Dr. Seuss "/>
        <s v="Wonder House Books"/>
        <s v="Laura Nowlin"/>
        <s v="Margaret Wise Brown, Clement Hurd"/>
        <s v="Gabrielle Zevin"/>
        <s v="PI Kids"/>
        <s v="Emily Winfield Martin"/>
        <s v="Alex Michaelides"/>
        <s v="Shelby Van Pelt"/>
        <s v="Morgan Housel"/>
        <s v="Keila Shaheen"/>
        <s v="Liz Cheney"/>
        <s v="Penguin Young Readers Licenses"/>
        <s v="Ana Huang"/>
        <s v="Hannah Grace"/>
        <s v="Piggyback"/>
        <s v="Walter Isaacson"/>
        <s v="Ramit Sethi"/>
        <s v="H. D. Carlton"/>
        <s v="Adam Wallace"/>
        <s v="Ann Whitford Paul"/>
        <s v="Emily Henry"/>
        <s v="Bill Martin Jr.,  John Archambault , Lois Ehlert"/>
        <s v="Ann Napolitano"/>
        <s v="Mark R. Levin"/>
        <s v="Hanya Yanagihara"/>
        <s v="Marcus Aurelius"/>
        <s v="Stephen King"/>
        <s v="James McBride"/>
        <s v="Scholastic"/>
        <s v="Napoleon Hill"/>
        <s v="Dale Carnegie "/>
        <s v="America’s Test Kitchen Kids"/>
        <s v="Charlie Mackesy"/>
        <s v="David Goggins"/>
        <s v="Jenny Han"/>
        <s v="John Grisham"/>
        <s v="Adam Rubin, Daniel Salmieri"/>
        <s v="Kristin Hannah"/>
        <s v="J. K. Rowling, Mary GrandPre?"/>
        <s v="Lindsay C. Gibson"/>
        <s v="Nick Trenton"/>
        <s v="Mark Manson"/>
        <s v="Kai Bird, Martin J. Sherwin"/>
        <s v="Dr. Mindy Pelz"/>
        <s v="Paulo Coelho"/>
        <s v="Robert Munsch, Sheila McGraw"/>
        <s v="Adam Wallace, Andy Elkerton"/>
        <s v="Anthony Doerr"/>
        <s v="Suzanne Collins"/>
        <s v="Heidi Murkoff"/>
        <s v="Laura Dave"/>
        <s v="Snoop Dogg"/>
        <s v="Gary Chapman"/>
        <s v="Crystal Radke"/>
      </sharedItems>
    </cacheField>
    <cacheField name="Rating" numFmtId="0">
      <sharedItems containsSemiMixedTypes="0" containsString="0" containsNumber="1" minValue="4.0999999999999996" maxValue="4.9000000000000004"/>
    </cacheField>
    <cacheField name="reviews count" numFmtId="0">
      <sharedItems containsSemiMixedTypes="0" containsString="0" containsNumber="1" containsInteger="1" minValue="3296" maxValue="653111"/>
    </cacheField>
    <cacheField name="form" numFmtId="0">
      <sharedItems count="4">
        <s v="Hardcover"/>
        <s v="Paperback"/>
        <s v="Board book"/>
        <s v="Cards"/>
      </sharedItems>
    </cacheField>
    <cacheField name="price" numFmtId="8">
      <sharedItems containsSemiMixedTypes="0" containsString="0" containsNumber="1" minValue="1.88" maxValue="52.62"/>
    </cacheField>
    <cacheField name="Print Length" numFmtId="0">
      <sharedItems containsString="0" containsBlank="1" containsNumber="1" containsInteger="1" minValue="24" maxValue="2896"/>
    </cacheField>
    <cacheField name="Publishing date" numFmtId="165">
      <sharedItems containsDate="1" containsMixedTypes="1" minDate="1990-01-22T00:00:00" maxDate="2024-09-18T00:00:00"/>
    </cacheField>
    <cacheField name="Genre" numFmtId="0">
      <sharedItems count="16">
        <s v="Self-Improvement"/>
        <s v="Fiction &amp; Action &amp; Adventure"/>
        <s v="Biographies &amp; Memoirs"/>
        <s v="Politics &amp; Social Sciences"/>
        <s v="Health &amp; Fitness &amp; Dieting"/>
        <s v="Mystery &amp; Thriller &amp; Suspense"/>
        <s v="Reading &amp; Writing"/>
        <s v="Arts &amp; Music &amp; Photography"/>
        <s v="Puzzles &amp; Games"/>
        <s v="Comics &amp; Graphic Novels"/>
        <s v="Cookbooks &amp; Food"/>
        <s v="Humor &amp; Entertainment"/>
        <s v="Business &amp; Money"/>
        <s v="Computers &amp; Technology"/>
        <s v="Romance"/>
        <s v="Schools &amp; Teaching"/>
      </sharedItems>
    </cacheField>
    <cacheField name="Price Category" numFmtId="0">
      <sharedItems count="3">
        <s v="Mid-range"/>
        <s v="Budget"/>
        <s v="Premium"/>
      </sharedItems>
    </cacheField>
  </cacheFields>
  <extLst>
    <ext xmlns:x14="http://schemas.microsoft.com/office/spreadsheetml/2009/9/main" uri="{725AE2AE-9491-48be-B2B4-4EB974FC3084}">
      <x14:pivotCacheDefinition pivotCacheId="289602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4.8"/>
    <n v="145747"/>
    <x v="0"/>
    <n v="18.88"/>
    <n v="320"/>
    <d v="2018-10-16T00:00:00"/>
    <x v="0"/>
    <x v="0"/>
  </r>
  <r>
    <n v="2"/>
    <x v="1"/>
    <x v="1"/>
    <n v="4.7"/>
    <n v="395512"/>
    <x v="0"/>
    <n v="11.05"/>
    <n v="640"/>
    <d v="2023-11-07T00:00:00"/>
    <x v="1"/>
    <x v="0"/>
  </r>
  <r>
    <n v="3"/>
    <x v="2"/>
    <x v="2"/>
    <n v="4.5"/>
    <n v="116101"/>
    <x v="0"/>
    <n v="11.99"/>
    <n v="416"/>
    <s v="January 10, 2023"/>
    <x v="2"/>
    <x v="0"/>
  </r>
  <r>
    <n v="4"/>
    <x v="3"/>
    <x v="1"/>
    <n v="4.8"/>
    <n v="472618"/>
    <x v="1"/>
    <n v="13.62"/>
    <n v="544"/>
    <d v="2024-09-17T00:00:00"/>
    <x v="1"/>
    <x v="0"/>
  </r>
  <r>
    <n v="5"/>
    <x v="4"/>
    <x v="3"/>
    <n v="4.4000000000000004"/>
    <n v="51520"/>
    <x v="0"/>
    <n v="11.37"/>
    <n v="288"/>
    <s v="October 24, 2023"/>
    <x v="2"/>
    <x v="0"/>
  </r>
  <r>
    <n v="6"/>
    <x v="5"/>
    <x v="4"/>
    <n v="4.5999999999999996"/>
    <n v="322650"/>
    <x v="0"/>
    <n v="13.94"/>
    <n v="400"/>
    <s v="April 5, 2022"/>
    <x v="1"/>
    <x v="0"/>
  </r>
  <r>
    <n v="7"/>
    <x v="6"/>
    <x v="5"/>
    <n v="4.7"/>
    <n v="87375"/>
    <x v="1"/>
    <n v="13.99"/>
    <n v="452"/>
    <d v="2000-09-01T00:00:00"/>
    <x v="3"/>
    <x v="0"/>
  </r>
  <r>
    <n v="8"/>
    <x v="7"/>
    <x v="6"/>
    <n v="4.8"/>
    <n v="82564"/>
    <x v="1"/>
    <n v="14.39"/>
    <n v="464"/>
    <d v="2015-09-08T00:00:00"/>
    <x v="4"/>
    <x v="0"/>
  </r>
  <r>
    <n v="9"/>
    <x v="8"/>
    <x v="7"/>
    <n v="4.5"/>
    <n v="228242"/>
    <x v="1"/>
    <n v="1.88"/>
    <n v="336"/>
    <d v="2022-10-18T00:00:00"/>
    <x v="1"/>
    <x v="1"/>
  </r>
  <r>
    <n v="10"/>
    <x v="9"/>
    <x v="8"/>
    <n v="4.5999999999999996"/>
    <n v="19946"/>
    <x v="0"/>
    <n v="18"/>
    <n v="496"/>
    <d v="2023-03-28T00:00:00"/>
    <x v="4"/>
    <x v="0"/>
  </r>
  <r>
    <n v="11"/>
    <x v="10"/>
    <x v="7"/>
    <n v="4.7"/>
    <n v="405311"/>
    <x v="1"/>
    <n v="9.0299999999999994"/>
    <n v="384"/>
    <d v="2016-08-02T00:00:00"/>
    <x v="1"/>
    <x v="1"/>
  </r>
  <r>
    <n v="12"/>
    <x v="11"/>
    <x v="9"/>
    <n v="4.5"/>
    <n v="653111"/>
    <x v="1"/>
    <n v="9.69"/>
    <n v="336"/>
    <d v="2022-08-23T00:00:00"/>
    <x v="5"/>
    <x v="1"/>
  </r>
  <r>
    <n v="13"/>
    <x v="12"/>
    <x v="10"/>
    <n v="4.9000000000000004"/>
    <n v="78436"/>
    <x v="2"/>
    <n v="5.75"/>
    <n v="26"/>
    <d v="1994-03-23T00:00:00"/>
    <x v="6"/>
    <x v="1"/>
  </r>
  <r>
    <n v="14"/>
    <x v="13"/>
    <x v="11"/>
    <n v="4.4000000000000004"/>
    <n v="80996"/>
    <x v="1"/>
    <n v="9.99"/>
    <n v="416"/>
    <s v="April 3, 2018"/>
    <x v="3"/>
    <x v="1"/>
  </r>
  <r>
    <n v="15"/>
    <x v="14"/>
    <x v="7"/>
    <n v="4.5999999999999996"/>
    <n v="443390"/>
    <x v="1"/>
    <n v="12.09"/>
    <n v="336"/>
    <d v="2021-10-26T00:00:00"/>
    <x v="1"/>
    <x v="0"/>
  </r>
  <r>
    <n v="16"/>
    <x v="15"/>
    <x v="12"/>
    <n v="4.5999999999999996"/>
    <n v="270507"/>
    <x v="1"/>
    <n v="6.91"/>
    <n v="400"/>
    <d v="2018-05-29T00:00:00"/>
    <x v="1"/>
    <x v="1"/>
  </r>
  <r>
    <n v="17"/>
    <x v="16"/>
    <x v="13"/>
    <n v="4.7"/>
    <n v="10805"/>
    <x v="0"/>
    <n v="16.989999999999998"/>
    <n v="432"/>
    <d v="2023-01-17T00:00:00"/>
    <x v="4"/>
    <x v="0"/>
  </r>
  <r>
    <n v="18"/>
    <x v="17"/>
    <x v="14"/>
    <n v="4.9000000000000004"/>
    <n v="9344"/>
    <x v="0"/>
    <n v="4.3499999999999996"/>
    <n v="24"/>
    <d v="2023-05-02T00:00:00"/>
    <x v="7"/>
    <x v="1"/>
  </r>
  <r>
    <n v="19"/>
    <x v="18"/>
    <x v="15"/>
    <n v="4.7"/>
    <n v="119661"/>
    <x v="1"/>
    <n v="7.05"/>
    <n v="160"/>
    <d v="1997-11-07T00:00:00"/>
    <x v="0"/>
    <x v="1"/>
  </r>
  <r>
    <n v="20"/>
    <x v="19"/>
    <x v="16"/>
    <n v="4.5999999999999996"/>
    <n v="146667"/>
    <x v="0"/>
    <n v="17.100000000000001"/>
    <n v="560"/>
    <s v="October 18, 2022"/>
    <x v="1"/>
    <x v="0"/>
  </r>
  <r>
    <n v="21"/>
    <x v="20"/>
    <x v="17"/>
    <n v="4.5999999999999996"/>
    <n v="314472"/>
    <x v="1"/>
    <n v="12.8"/>
    <n v="448"/>
    <d v="2020-06-02T00:00:00"/>
    <x v="1"/>
    <x v="0"/>
  </r>
  <r>
    <n v="22"/>
    <x v="21"/>
    <x v="18"/>
    <n v="4.5999999999999996"/>
    <n v="15400"/>
    <x v="1"/>
    <n v="10.41"/>
    <n v="196"/>
    <d v="2022-07-18T00:00:00"/>
    <x v="8"/>
    <x v="0"/>
  </r>
  <r>
    <n v="23"/>
    <x v="22"/>
    <x v="19"/>
    <n v="4.7"/>
    <n v="13081"/>
    <x v="0"/>
    <n v="2.0299999999999998"/>
    <n v="224"/>
    <s v="October 24, 2023"/>
    <x v="6"/>
    <x v="1"/>
  </r>
  <r>
    <n v="24"/>
    <x v="23"/>
    <x v="20"/>
    <n v="4.9000000000000004"/>
    <n v="80263"/>
    <x v="2"/>
    <n v="3.97"/>
    <n v="28"/>
    <d v="2015-03-03T00:00:00"/>
    <x v="6"/>
    <x v="1"/>
  </r>
  <r>
    <n v="25"/>
    <x v="24"/>
    <x v="21"/>
    <n v="4.8"/>
    <n v="11089"/>
    <x v="0"/>
    <n v="5.48"/>
    <n v="240"/>
    <s v="March 28, 2023"/>
    <x v="9"/>
    <x v="1"/>
  </r>
  <r>
    <n v="26"/>
    <x v="25"/>
    <x v="22"/>
    <n v="4.5"/>
    <n v="232211"/>
    <x v="1"/>
    <n v="9.77"/>
    <n v="570"/>
    <s v="January 12, 2022"/>
    <x v="1"/>
    <x v="1"/>
  </r>
  <r>
    <n v="27"/>
    <x v="26"/>
    <x v="23"/>
    <n v="4.5999999999999996"/>
    <n v="94536"/>
    <x v="0"/>
    <n v="17.96"/>
    <n v="736"/>
    <s v="May 2, 2023"/>
    <x v="1"/>
    <x v="0"/>
  </r>
  <r>
    <n v="28"/>
    <x v="27"/>
    <x v="24"/>
    <n v="4.9000000000000004"/>
    <n v="55794"/>
    <x v="2"/>
    <n v="4.82"/>
    <n v="24"/>
    <d v="1996-09-15T00:00:00"/>
    <x v="6"/>
    <x v="1"/>
  </r>
  <r>
    <n v="29"/>
    <x v="28"/>
    <x v="25"/>
    <n v="4.9000000000000004"/>
    <n v="13217"/>
    <x v="0"/>
    <n v="16.78"/>
    <n v="256"/>
    <s v="July 25, 2023"/>
    <x v="10"/>
    <x v="0"/>
  </r>
  <r>
    <n v="30"/>
    <x v="29"/>
    <x v="26"/>
    <n v="4.9000000000000004"/>
    <n v="14622"/>
    <x v="2"/>
    <n v="5.37"/>
    <n v="24"/>
    <d v="2020-01-07T00:00:00"/>
    <x v="6"/>
    <x v="1"/>
  </r>
  <r>
    <n v="31"/>
    <x v="30"/>
    <x v="27"/>
    <n v="4.5"/>
    <n v="60311"/>
    <x v="0"/>
    <n v="10.83"/>
    <n v="272"/>
    <s v="November 1, 2022"/>
    <x v="11"/>
    <x v="0"/>
  </r>
  <r>
    <n v="32"/>
    <x v="31"/>
    <x v="28"/>
    <n v="4.7"/>
    <n v="106198"/>
    <x v="1"/>
    <n v="7.34"/>
    <n v="336"/>
    <s v="April 5, 2022"/>
    <x v="12"/>
    <x v="1"/>
  </r>
  <r>
    <n v="33"/>
    <x v="32"/>
    <x v="11"/>
    <n v="4.4000000000000004"/>
    <n v="39574"/>
    <x v="0"/>
    <n v="14.47"/>
    <n v="352"/>
    <s v="April 18, 2023"/>
    <x v="2"/>
    <x v="0"/>
  </r>
  <r>
    <n v="34"/>
    <x v="33"/>
    <x v="29"/>
    <n v="4.9000000000000004"/>
    <n v="53602"/>
    <x v="0"/>
    <n v="8.64"/>
    <n v="56"/>
    <d v="1990-01-22T00:00:00"/>
    <x v="6"/>
    <x v="1"/>
  </r>
  <r>
    <n v="35"/>
    <x v="34"/>
    <x v="30"/>
    <n v="4.5999999999999996"/>
    <n v="88321"/>
    <x v="2"/>
    <n v="14.99"/>
    <n v="220"/>
    <d v="2018-04-25T00:00:00"/>
    <x v="6"/>
    <x v="0"/>
  </r>
  <r>
    <n v="36"/>
    <x v="35"/>
    <x v="31"/>
    <n v="4.2"/>
    <n v="60754"/>
    <x v="1"/>
    <n v="6.88"/>
    <n v="400"/>
    <d v="2019-11-01T00:00:00"/>
    <x v="1"/>
    <x v="1"/>
  </r>
  <r>
    <n v="37"/>
    <x v="36"/>
    <x v="32"/>
    <n v="4.9000000000000004"/>
    <n v="31124"/>
    <x v="2"/>
    <n v="1.89"/>
    <n v="34"/>
    <s v="August 2, 1991"/>
    <x v="7"/>
    <x v="1"/>
  </r>
  <r>
    <n v="38"/>
    <x v="37"/>
    <x v="33"/>
    <n v="4.4000000000000004"/>
    <n v="129310"/>
    <x v="0"/>
    <n v="13.28"/>
    <n v="416"/>
    <s v="July 5, 2022"/>
    <x v="1"/>
    <x v="0"/>
  </r>
  <r>
    <n v="39"/>
    <x v="38"/>
    <x v="34"/>
    <n v="4.8"/>
    <n v="26464"/>
    <x v="0"/>
    <n v="11.99"/>
    <n v="24"/>
    <d v="2013-01-31T00:00:00"/>
    <x v="6"/>
    <x v="0"/>
  </r>
  <r>
    <n v="40"/>
    <x v="39"/>
    <x v="35"/>
    <n v="4.9000000000000004"/>
    <n v="32274"/>
    <x v="0"/>
    <n v="9.4499999999999993"/>
    <n v="36"/>
    <d v="2015-08-25T00:00:00"/>
    <x v="6"/>
    <x v="1"/>
  </r>
  <r>
    <n v="41"/>
    <x v="40"/>
    <x v="1"/>
    <n v="4.5999999999999996"/>
    <n v="5028"/>
    <x v="0"/>
    <n v="26.91"/>
    <n v="528"/>
    <s v="November 7, 2023"/>
    <x v="1"/>
    <x v="2"/>
  </r>
  <r>
    <n v="42"/>
    <x v="41"/>
    <x v="36"/>
    <n v="4.4000000000000004"/>
    <n v="398561"/>
    <x v="1"/>
    <n v="2.39"/>
    <n v="368"/>
    <d v="2021-05-04T00:00:00"/>
    <x v="5"/>
    <x v="1"/>
  </r>
  <r>
    <n v="43"/>
    <x v="42"/>
    <x v="37"/>
    <n v="4.5999999999999996"/>
    <n v="129211"/>
    <x v="2"/>
    <n v="14.53"/>
    <n v="368"/>
    <d v="2022-05-03T00:00:00"/>
    <x v="5"/>
    <x v="0"/>
  </r>
  <r>
    <n v="44"/>
    <x v="43"/>
    <x v="38"/>
    <n v="4.7"/>
    <n v="68563"/>
    <x v="1"/>
    <n v="14.18"/>
    <n v="256"/>
    <d v="2020-09-08T00:00:00"/>
    <x v="12"/>
    <x v="0"/>
  </r>
  <r>
    <n v="45"/>
    <x v="44"/>
    <x v="39"/>
    <n v="4.7"/>
    <n v="6331"/>
    <x v="1"/>
    <n v="23.66"/>
    <n v="138"/>
    <s v="November 2, 2021"/>
    <x v="4"/>
    <x v="2"/>
  </r>
  <r>
    <n v="46"/>
    <x v="45"/>
    <x v="40"/>
    <n v="4.8"/>
    <n v="17084"/>
    <x v="0"/>
    <n v="14.78"/>
    <n v="384"/>
    <s v="December 5, 2023"/>
    <x v="2"/>
    <x v="0"/>
  </r>
  <r>
    <n v="47"/>
    <x v="46"/>
    <x v="41"/>
    <n v="4.8"/>
    <n v="9137"/>
    <x v="1"/>
    <n v="2.7"/>
    <n v="32"/>
    <s v="January 25, 2022"/>
    <x v="7"/>
    <x v="1"/>
  </r>
  <r>
    <n v="48"/>
    <x v="47"/>
    <x v="42"/>
    <n v="4.2"/>
    <n v="142671"/>
    <x v="1"/>
    <n v="9.99"/>
    <n v="352"/>
    <s v="September 27, 2022"/>
    <x v="1"/>
    <x v="1"/>
  </r>
  <r>
    <n v="49"/>
    <x v="48"/>
    <x v="43"/>
    <n v="4.3"/>
    <n v="113454"/>
    <x v="1"/>
    <n v="9.4"/>
    <n v="448"/>
    <s v="February 7, 2023"/>
    <x v="1"/>
    <x v="1"/>
  </r>
  <r>
    <n v="50"/>
    <x v="49"/>
    <x v="22"/>
    <n v="4.4000000000000004"/>
    <n v="119095"/>
    <x v="1"/>
    <n v="9.9499999999999993"/>
    <n v="592"/>
    <s v="February 21, 2023"/>
    <x v="1"/>
    <x v="1"/>
  </r>
  <r>
    <n v="51"/>
    <x v="50"/>
    <x v="7"/>
    <n v="4.7"/>
    <n v="347742"/>
    <x v="1"/>
    <n v="9.0299999999999994"/>
    <n v="335"/>
    <s v="January 18, 2022"/>
    <x v="1"/>
    <x v="1"/>
  </r>
  <r>
    <n v="52"/>
    <x v="51"/>
    <x v="17"/>
    <n v="4.8"/>
    <n v="287325"/>
    <x v="1"/>
    <n v="12.16"/>
    <n v="656"/>
    <d v="2020-06-02T00:00:00"/>
    <x v="1"/>
    <x v="0"/>
  </r>
  <r>
    <n v="53"/>
    <x v="52"/>
    <x v="44"/>
    <n v="4.8"/>
    <n v="7876"/>
    <x v="0"/>
    <n v="20.190000000000001"/>
    <n v="496"/>
    <s v="July 7, 2023"/>
    <x v="13"/>
    <x v="2"/>
  </r>
  <r>
    <n v="54"/>
    <x v="53"/>
    <x v="45"/>
    <n v="4.7"/>
    <n v="22689"/>
    <x v="0"/>
    <n v="19.93"/>
    <n v="688"/>
    <s v="September 12, 2023"/>
    <x v="2"/>
    <x v="0"/>
  </r>
  <r>
    <n v="55"/>
    <x v="54"/>
    <x v="46"/>
    <n v="4.5999999999999996"/>
    <n v="23034"/>
    <x v="1"/>
    <n v="10.17"/>
    <n v="352"/>
    <s v="May 14, 2019"/>
    <x v="12"/>
    <x v="0"/>
  </r>
  <r>
    <n v="56"/>
    <x v="55"/>
    <x v="47"/>
    <n v="4.4000000000000004"/>
    <n v="163368"/>
    <x v="1"/>
    <n v="17.18"/>
    <n v="627"/>
    <d v="2021-08-13T00:00:00"/>
    <x v="5"/>
    <x v="0"/>
  </r>
  <r>
    <n v="57"/>
    <x v="56"/>
    <x v="48"/>
    <n v="4.8"/>
    <n v="18031"/>
    <x v="0"/>
    <n v="5.6"/>
    <n v="40"/>
    <s v="September 3, 2019"/>
    <x v="6"/>
    <x v="1"/>
  </r>
  <r>
    <n v="58"/>
    <x v="57"/>
    <x v="7"/>
    <n v="4.5999999999999996"/>
    <n v="165631"/>
    <x v="1"/>
    <n v="8.91"/>
    <n v="336"/>
    <s v="August 5, 2014"/>
    <x v="1"/>
    <x v="1"/>
  </r>
  <r>
    <n v="59"/>
    <x v="58"/>
    <x v="49"/>
    <n v="4.8"/>
    <n v="75734"/>
    <x v="2"/>
    <n v="4.2300000000000004"/>
    <n v="34"/>
    <s v="June 3, 2014"/>
    <x v="6"/>
    <x v="1"/>
  </r>
  <r>
    <n v="60"/>
    <x v="59"/>
    <x v="50"/>
    <n v="4.2"/>
    <n v="107168"/>
    <x v="0"/>
    <n v="12.29"/>
    <n v="400"/>
    <s v="April 25, 2023"/>
    <x v="1"/>
    <x v="0"/>
  </r>
  <r>
    <n v="61"/>
    <x v="60"/>
    <x v="42"/>
    <n v="4.4000000000000004"/>
    <n v="108327"/>
    <x v="1"/>
    <n v="9.74"/>
    <n v="448"/>
    <s v="September 27, 2022"/>
    <x v="14"/>
    <x v="1"/>
  </r>
  <r>
    <n v="62"/>
    <x v="61"/>
    <x v="51"/>
    <n v="4.9000000000000004"/>
    <n v="41314"/>
    <x v="2"/>
    <n v="4.17"/>
    <n v="36"/>
    <d v="2012-01-01T00:00:00"/>
    <x v="6"/>
    <x v="1"/>
  </r>
  <r>
    <n v="63"/>
    <x v="62"/>
    <x v="52"/>
    <n v="4.4000000000000004"/>
    <n v="109707"/>
    <x v="0"/>
    <n v="13.97"/>
    <n v="400"/>
    <s v="March 14, 2023"/>
    <x v="1"/>
    <x v="0"/>
  </r>
  <r>
    <n v="64"/>
    <x v="63"/>
    <x v="53"/>
    <n v="4.8"/>
    <n v="5751"/>
    <x v="0"/>
    <n v="13.47"/>
    <n v="400"/>
    <s v="September 19, 2023"/>
    <x v="3"/>
    <x v="0"/>
  </r>
  <r>
    <n v="65"/>
    <x v="64"/>
    <x v="54"/>
    <n v="4.5"/>
    <n v="86622"/>
    <x v="1"/>
    <n v="9.25"/>
    <n v="832"/>
    <s v="January 26, 2016"/>
    <x v="1"/>
    <x v="1"/>
  </r>
  <r>
    <n v="66"/>
    <x v="65"/>
    <x v="55"/>
    <n v="4.8"/>
    <n v="18227"/>
    <x v="1"/>
    <n v="8.18"/>
    <n v="272"/>
    <s v="May 6, 2003"/>
    <x v="3"/>
    <x v="1"/>
  </r>
  <r>
    <n v="67"/>
    <x v="66"/>
    <x v="56"/>
    <n v="4.5"/>
    <n v="43046"/>
    <x v="0"/>
    <n v="13.98"/>
    <n v="464"/>
    <s v="September 5, 2023"/>
    <x v="5"/>
    <x v="0"/>
  </r>
  <r>
    <n v="68"/>
    <x v="67"/>
    <x v="57"/>
    <n v="4.4000000000000004"/>
    <n v="73210"/>
    <x v="0"/>
    <n v="15.05"/>
    <n v="400"/>
    <d v="2023-08-08T00:00:00"/>
    <x v="1"/>
    <x v="0"/>
  </r>
  <r>
    <n v="69"/>
    <x v="68"/>
    <x v="58"/>
    <n v="4.8"/>
    <n v="32845"/>
    <x v="3"/>
    <n v="3.07"/>
    <m/>
    <d v="2018-03-01T00:00:00"/>
    <x v="15"/>
    <x v="1"/>
  </r>
  <r>
    <n v="70"/>
    <x v="69"/>
    <x v="59"/>
    <n v="4.8"/>
    <n v="29360"/>
    <x v="1"/>
    <n v="8.24"/>
    <n v="320"/>
    <s v="December 15, 2007"/>
    <x v="12"/>
    <x v="1"/>
  </r>
  <r>
    <n v="71"/>
    <x v="70"/>
    <x v="12"/>
    <n v="4.4000000000000004"/>
    <n v="95715"/>
    <x v="1"/>
    <n v="9.33"/>
    <n v="400"/>
    <s v="February 4, 2020"/>
    <x v="1"/>
    <x v="1"/>
  </r>
  <r>
    <n v="72"/>
    <x v="71"/>
    <x v="17"/>
    <n v="4.8"/>
    <n v="52380"/>
    <x v="1"/>
    <n v="47.9"/>
    <n v="2896"/>
    <d v="2022-11-01T00:00:00"/>
    <x v="1"/>
    <x v="2"/>
  </r>
  <r>
    <n v="73"/>
    <x v="72"/>
    <x v="60"/>
    <n v="4.7"/>
    <n v="109703"/>
    <x v="1"/>
    <n v="15.44"/>
    <n v="320"/>
    <d v="1998-10-01T00:00:00"/>
    <x v="0"/>
    <x v="0"/>
  </r>
  <r>
    <n v="74"/>
    <x v="73"/>
    <x v="61"/>
    <n v="4.8"/>
    <n v="25279"/>
    <x v="0"/>
    <n v="9.4"/>
    <n v="208"/>
    <d v="2018-10-16T00:00:00"/>
    <x v="10"/>
    <x v="1"/>
  </r>
  <r>
    <n v="75"/>
    <x v="74"/>
    <x v="62"/>
    <n v="4.8"/>
    <n v="127734"/>
    <x v="0"/>
    <n v="17.62"/>
    <n v="128"/>
    <s v="October 22, 2019"/>
    <x v="9"/>
    <x v="0"/>
  </r>
  <r>
    <n v="76"/>
    <x v="75"/>
    <x v="63"/>
    <n v="4.8"/>
    <n v="104512"/>
    <x v="1"/>
    <n v="24.99"/>
    <n v="364"/>
    <s v="December 10, 2018"/>
    <x v="0"/>
    <x v="2"/>
  </r>
  <r>
    <n v="77"/>
    <x v="76"/>
    <x v="64"/>
    <n v="4.8"/>
    <n v="14746"/>
    <x v="1"/>
    <n v="24.62"/>
    <n v="928"/>
    <s v="May 7, 2013"/>
    <x v="1"/>
    <x v="2"/>
  </r>
  <r>
    <n v="78"/>
    <x v="77"/>
    <x v="65"/>
    <n v="4.0999999999999996"/>
    <n v="72785"/>
    <x v="0"/>
    <n v="12.97"/>
    <n v="352"/>
    <s v="October 17, 2023"/>
    <x v="5"/>
    <x v="0"/>
  </r>
  <r>
    <n v="79"/>
    <x v="78"/>
    <x v="66"/>
    <n v="4.8"/>
    <n v="20638"/>
    <x v="0"/>
    <n v="9.82"/>
    <n v="40"/>
    <d v="2012-06-14T00:00:00"/>
    <x v="6"/>
    <x v="1"/>
  </r>
  <r>
    <n v="80"/>
    <x v="79"/>
    <x v="67"/>
    <n v="4.7"/>
    <n v="396005"/>
    <x v="1"/>
    <n v="13.48"/>
    <n v="608"/>
    <s v=" April 25, 2017"/>
    <x v="1"/>
    <x v="0"/>
  </r>
  <r>
    <n v="81"/>
    <x v="80"/>
    <x v="68"/>
    <n v="4.9000000000000004"/>
    <n v="65142"/>
    <x v="1"/>
    <n v="52.62"/>
    <m/>
    <s v="July 1, 2009"/>
    <x v="6"/>
    <x v="2"/>
  </r>
  <r>
    <n v="82"/>
    <x v="81"/>
    <x v="69"/>
    <n v="4.8"/>
    <n v="27090"/>
    <x v="1"/>
    <n v="10.210000000000001"/>
    <n v="216"/>
    <s v="June 1, 2015"/>
    <x v="0"/>
    <x v="0"/>
  </r>
  <r>
    <n v="83"/>
    <x v="82"/>
    <x v="70"/>
    <n v="4.7"/>
    <n v="14647"/>
    <x v="1"/>
    <n v="10.199999999999999"/>
    <n v="200"/>
    <s v="March 1, 2021"/>
    <x v="12"/>
    <x v="0"/>
  </r>
  <r>
    <n v="84"/>
    <x v="83"/>
    <x v="17"/>
    <n v="4.7"/>
    <n v="269981"/>
    <x v="1"/>
    <n v="12.81"/>
    <n v="736"/>
    <d v="2020-06-02T00:00:00"/>
    <x v="1"/>
    <x v="0"/>
  </r>
  <r>
    <n v="85"/>
    <x v="84"/>
    <x v="71"/>
    <n v="4.5"/>
    <n v="158416"/>
    <x v="0"/>
    <n v="13.43"/>
    <n v="224"/>
    <s v="September 13, 2016"/>
    <x v="0"/>
    <x v="0"/>
  </r>
  <r>
    <n v="86"/>
    <x v="85"/>
    <x v="72"/>
    <n v="4.7"/>
    <n v="13739"/>
    <x v="1"/>
    <n v="14.71"/>
    <n v="721"/>
    <s v="May 1, 2006"/>
    <x v="2"/>
    <x v="0"/>
  </r>
  <r>
    <n v="87"/>
    <x v="86"/>
    <x v="73"/>
    <n v="4.7"/>
    <n v="7992"/>
    <x v="0"/>
    <n v="12.81"/>
    <n v="352"/>
    <s v="December 27, 2022"/>
    <x v="4"/>
    <x v="0"/>
  </r>
  <r>
    <n v="88"/>
    <x v="87"/>
    <x v="39"/>
    <n v="4.5999999999999996"/>
    <n v="3296"/>
    <x v="1"/>
    <n v="21.74"/>
    <n v="227"/>
    <s v="February 28, 2023"/>
    <x v="0"/>
    <x v="2"/>
  </r>
  <r>
    <n v="89"/>
    <x v="88"/>
    <x v="74"/>
    <n v="4.5999999999999996"/>
    <n v="123058"/>
    <x v="1"/>
    <n v="5.03"/>
    <n v="208"/>
    <s v="April 15, 2014"/>
    <x v="2"/>
    <x v="1"/>
  </r>
  <r>
    <n v="90"/>
    <x v="89"/>
    <x v="75"/>
    <n v="4.9000000000000004"/>
    <n v="67104"/>
    <x v="1"/>
    <n v="4.9800000000000004"/>
    <n v="32"/>
    <s v="September 1, 1995"/>
    <x v="6"/>
    <x v="1"/>
  </r>
  <r>
    <n v="91"/>
    <x v="90"/>
    <x v="76"/>
    <n v="4.8"/>
    <n v="37369"/>
    <x v="0"/>
    <n v="5.96"/>
    <n v="40"/>
    <s v="March 5, 2019"/>
    <x v="6"/>
    <x v="1"/>
  </r>
  <r>
    <n v="92"/>
    <x v="91"/>
    <x v="77"/>
    <n v="4.5"/>
    <n v="235857"/>
    <x v="1"/>
    <n v="10.18"/>
    <n v="544"/>
    <s v="April 4, 2017"/>
    <x v="1"/>
    <x v="0"/>
  </r>
  <r>
    <n v="93"/>
    <x v="92"/>
    <x v="78"/>
    <n v="4.5"/>
    <n v="105084"/>
    <x v="1"/>
    <n v="10.83"/>
    <n v="528"/>
    <s v="August 1, 2023"/>
    <x v="1"/>
    <x v="0"/>
  </r>
  <r>
    <n v="94"/>
    <x v="93"/>
    <x v="79"/>
    <n v="4.8"/>
    <n v="30260"/>
    <x v="1"/>
    <n v="9.43"/>
    <n v="656"/>
    <d v="2016-05-31T00:00:00"/>
    <x v="4"/>
    <x v="1"/>
  </r>
  <r>
    <n v="95"/>
    <x v="94"/>
    <x v="80"/>
    <n v="4.3"/>
    <n v="168512"/>
    <x v="1"/>
    <n v="7.16"/>
    <n v="336"/>
    <s v="March 21, 2023"/>
    <x v="1"/>
    <x v="1"/>
  </r>
  <r>
    <n v="96"/>
    <x v="95"/>
    <x v="81"/>
    <n v="4.8"/>
    <n v="40073"/>
    <x v="0"/>
    <n v="12"/>
    <n v="192"/>
    <d v="2018-10-23T00:00:00"/>
    <x v="10"/>
    <x v="0"/>
  </r>
  <r>
    <n v="97"/>
    <x v="96"/>
    <x v="82"/>
    <n v="4.8"/>
    <n v="91554"/>
    <x v="1"/>
    <n v="1.89"/>
    <n v="224"/>
    <s v="June 1, 2024"/>
    <x v="0"/>
    <x v="1"/>
  </r>
  <r>
    <n v="98"/>
    <x v="97"/>
    <x v="83"/>
    <n v="4.8"/>
    <n v="89173"/>
    <x v="1"/>
    <n v="5.26"/>
    <n v="84"/>
    <d v="2019-08-27T00:00:00"/>
    <x v="6"/>
    <x v="1"/>
  </r>
  <r>
    <n v="99"/>
    <x v="98"/>
    <x v="76"/>
    <n v="4.8"/>
    <n v="34994"/>
    <x v="0"/>
    <n v="5.71"/>
    <n v="40"/>
    <s v=" July 17, 2018"/>
    <x v="6"/>
    <x v="1"/>
  </r>
  <r>
    <n v="100"/>
    <x v="99"/>
    <x v="17"/>
    <n v="4.2"/>
    <n v="181184"/>
    <x v="1"/>
    <n v="12.74"/>
    <n v="272"/>
    <d v="2020-06-02T00:00: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1E0DC-7AAB-47C9-8690-3BD828B5EA5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showAll="0"/>
    <pivotField axis="axisRow" showAll="0" measureFilter="1" sortType="ascending">
      <items count="101">
        <item x="99"/>
        <item x="51"/>
        <item x="20"/>
        <item x="71"/>
        <item x="83"/>
        <item x="64"/>
        <item x="81"/>
        <item x="91"/>
        <item x="85"/>
        <item x="0"/>
        <item x="28"/>
        <item x="27"/>
        <item x="75"/>
        <item x="61"/>
        <item x="70"/>
        <item x="19"/>
        <item x="24"/>
        <item x="78"/>
        <item x="53"/>
        <item x="86"/>
        <item x="3"/>
        <item x="40"/>
        <item x="30"/>
        <item x="95"/>
        <item x="36"/>
        <item x="59"/>
        <item x="80"/>
        <item x="55"/>
        <item x="62"/>
        <item x="66"/>
        <item x="56"/>
        <item x="98"/>
        <item x="90"/>
        <item x="72"/>
        <item x="29"/>
        <item x="23"/>
        <item x="54"/>
        <item x="48"/>
        <item x="58"/>
        <item x="35"/>
        <item x="21"/>
        <item x="1"/>
        <item x="10"/>
        <item x="8"/>
        <item x="13"/>
        <item x="5"/>
        <item x="89"/>
        <item x="65"/>
        <item x="97"/>
        <item x="34"/>
        <item x="22"/>
        <item x="45"/>
        <item x="33"/>
        <item x="9"/>
        <item x="42"/>
        <item x="50"/>
        <item x="31"/>
        <item x="68"/>
        <item x="2"/>
        <item x="82"/>
        <item x="17"/>
        <item x="6"/>
        <item x="96"/>
        <item x="88"/>
        <item x="92"/>
        <item x="7"/>
        <item x="74"/>
        <item x="73"/>
        <item x="76"/>
        <item x="26"/>
        <item x="16"/>
        <item x="63"/>
        <item x="77"/>
        <item x="18"/>
        <item x="67"/>
        <item x="11"/>
        <item x="94"/>
        <item x="52"/>
        <item x="79"/>
        <item x="43"/>
        <item x="15"/>
        <item x="44"/>
        <item x="87"/>
        <item x="41"/>
        <item x="84"/>
        <item x="12"/>
        <item x="32"/>
        <item x="4"/>
        <item x="39"/>
        <item x="49"/>
        <item x="25"/>
        <item x="69"/>
        <item x="37"/>
        <item x="60"/>
        <item x="47"/>
        <item x="57"/>
        <item x="14"/>
        <item x="93"/>
        <item x="46"/>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0"/>
        <item x="1"/>
        <item t="default"/>
      </items>
    </pivotField>
    <pivotField dataField="1" numFmtId="8" showAll="0"/>
    <pivotField showAll="0"/>
    <pivotField showAll="0"/>
    <pivotField showAll="0">
      <items count="17">
        <item x="7"/>
        <item x="2"/>
        <item x="12"/>
        <item x="9"/>
        <item x="13"/>
        <item x="10"/>
        <item x="1"/>
        <item x="4"/>
        <item x="11"/>
        <item x="5"/>
        <item x="3"/>
        <item x="8"/>
        <item x="6"/>
        <item x="14"/>
        <item x="15"/>
        <item x="0"/>
        <item t="default"/>
      </items>
    </pivotField>
    <pivotField showAll="0"/>
  </pivotFields>
  <rowFields count="1">
    <field x="1"/>
  </rowFields>
  <rowItems count="6">
    <i>
      <x v="68"/>
    </i>
    <i>
      <x v="12"/>
    </i>
    <i>
      <x v="21"/>
    </i>
    <i>
      <x v="3"/>
    </i>
    <i>
      <x v="26"/>
    </i>
    <i t="grand">
      <x/>
    </i>
  </rowItems>
  <colItems count="1">
    <i/>
  </colItems>
  <dataFields count="1">
    <dataField name="Sum of pric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5E8DF-F8AE-4074-A7F0-5D275571C37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showAll="0"/>
    <pivotField axis="axisRow" showAll="0" measureFilter="1" sortType="ascending">
      <items count="85">
        <item x="23"/>
        <item x="66"/>
        <item x="48"/>
        <item x="76"/>
        <item x="36"/>
        <item x="20"/>
        <item x="61"/>
        <item x="42"/>
        <item x="52"/>
        <item x="49"/>
        <item x="77"/>
        <item x="25"/>
        <item x="16"/>
        <item x="6"/>
        <item x="24"/>
        <item x="51"/>
        <item x="4"/>
        <item x="3"/>
        <item x="62"/>
        <item x="7"/>
        <item x="83"/>
        <item x="60"/>
        <item x="21"/>
        <item x="63"/>
        <item x="11"/>
        <item x="73"/>
        <item x="29"/>
        <item x="50"/>
        <item x="35"/>
        <item x="10"/>
        <item x="9"/>
        <item x="33"/>
        <item x="82"/>
        <item x="47"/>
        <item x="43"/>
        <item x="54"/>
        <item x="79"/>
        <item x="68"/>
        <item x="0"/>
        <item x="57"/>
        <item x="15"/>
        <item x="19"/>
        <item x="64"/>
        <item x="65"/>
        <item x="18"/>
        <item x="72"/>
        <item x="39"/>
        <item x="67"/>
        <item x="80"/>
        <item x="31"/>
        <item x="69"/>
        <item x="40"/>
        <item x="22"/>
        <item x="55"/>
        <item x="32"/>
        <item x="71"/>
        <item x="53"/>
        <item x="27"/>
        <item x="38"/>
        <item x="59"/>
        <item x="70"/>
        <item x="74"/>
        <item x="41"/>
        <item x="8"/>
        <item x="34"/>
        <item x="44"/>
        <item x="2"/>
        <item x="46"/>
        <item x="1"/>
        <item x="13"/>
        <item x="5"/>
        <item x="75"/>
        <item x="28"/>
        <item x="26"/>
        <item x="17"/>
        <item x="58"/>
        <item x="37"/>
        <item x="81"/>
        <item x="56"/>
        <item x="78"/>
        <item x="12"/>
        <item x="45"/>
        <item x="14"/>
        <item x="3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x="2"/>
        <item x="3"/>
        <item x="0"/>
        <item x="1"/>
        <item t="default"/>
      </items>
    </pivotField>
    <pivotField numFmtId="8" showAll="0"/>
    <pivotField showAll="0"/>
    <pivotField showAll="0"/>
    <pivotField showAll="0">
      <items count="17">
        <item x="7"/>
        <item x="2"/>
        <item x="12"/>
        <item x="9"/>
        <item x="13"/>
        <item x="10"/>
        <item x="1"/>
        <item x="4"/>
        <item x="11"/>
        <item x="5"/>
        <item x="3"/>
        <item x="8"/>
        <item x="6"/>
        <item x="14"/>
        <item x="15"/>
        <item x="0"/>
        <item t="default"/>
      </items>
    </pivotField>
    <pivotField showAll="0"/>
  </pivotFields>
  <rowFields count="1">
    <field x="2"/>
  </rowFields>
  <rowItems count="6">
    <i>
      <x v="46"/>
    </i>
    <i>
      <x v="3"/>
    </i>
    <i>
      <x v="68"/>
    </i>
    <i>
      <x v="74"/>
    </i>
    <i>
      <x v="19"/>
    </i>
    <i t="grand">
      <x/>
    </i>
  </rowItems>
  <colItems count="1">
    <i/>
  </colItems>
  <dataFields count="1">
    <dataField name="Sum of Rating"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8E8118-5CDB-44DC-BB39-FA13D544FAF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showAll="0"/>
    <pivotField showAll="0"/>
    <pivotField showAll="0"/>
    <pivotField dataField="1" showAll="0"/>
    <pivotField showAll="0"/>
    <pivotField showAll="0">
      <items count="5">
        <item x="2"/>
        <item x="3"/>
        <item x="0"/>
        <item x="1"/>
        <item t="default"/>
      </items>
    </pivotField>
    <pivotField numFmtId="8" showAll="0"/>
    <pivotField showAll="0"/>
    <pivotField showAll="0"/>
    <pivotField axis="axisRow" showAll="0" measureFilter="1" sortType="ascending">
      <items count="17">
        <item x="7"/>
        <item x="2"/>
        <item x="12"/>
        <item x="9"/>
        <item x="13"/>
        <item x="10"/>
        <item x="1"/>
        <item x="4"/>
        <item x="11"/>
        <item x="5"/>
        <item x="3"/>
        <item x="8"/>
        <item x="6"/>
        <item x="14"/>
        <item x="15"/>
        <item x="0"/>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6">
    <i>
      <x v="7"/>
    </i>
    <i>
      <x v="1"/>
    </i>
    <i>
      <x v="15"/>
    </i>
    <i>
      <x v="12"/>
    </i>
    <i>
      <x v="6"/>
    </i>
    <i t="grand">
      <x/>
    </i>
  </rowItems>
  <colItems count="1">
    <i/>
  </colItems>
  <dataFields count="1">
    <dataField name="Sum of Rating" fld="3" baseField="0" baseItem="0"/>
  </dataFields>
  <chartFormats count="2">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1306F-C842-4B4B-A228-9DD127C74A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pivotField dataField="1" showAll="0"/>
    <pivotField showAll="0"/>
    <pivotField axis="axisRow" showAll="0">
      <items count="5">
        <item x="2"/>
        <item x="3"/>
        <item x="0"/>
        <item x="1"/>
        <item t="default"/>
      </items>
    </pivotField>
    <pivotField numFmtId="8" showAll="0"/>
    <pivotField showAll="0"/>
    <pivotField showAll="0"/>
    <pivotField showAll="0">
      <items count="17">
        <item x="7"/>
        <item x="2"/>
        <item x="12"/>
        <item x="9"/>
        <item x="13"/>
        <item x="10"/>
        <item x="1"/>
        <item x="4"/>
        <item x="11"/>
        <item x="5"/>
        <item x="3"/>
        <item x="8"/>
        <item x="6"/>
        <item x="14"/>
        <item x="15"/>
        <item x="0"/>
        <item t="default"/>
      </items>
    </pivotField>
    <pivotField showAll="0"/>
  </pivotFields>
  <rowFields count="1">
    <field x="5"/>
  </rowFields>
  <rowItems count="5">
    <i>
      <x/>
    </i>
    <i>
      <x v="1"/>
    </i>
    <i>
      <x v="2"/>
    </i>
    <i>
      <x v="3"/>
    </i>
    <i t="grand">
      <x/>
    </i>
  </rowItems>
  <colItems count="1">
    <i/>
  </colItems>
  <dataFields count="1">
    <dataField name="Sum of Rating" fld="3"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3"/>
          </reference>
        </references>
      </pivotArea>
    </chartFormat>
    <chartFormat chart="1"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595BDC-BA51-40BE-98B2-3077261202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1">
    <pivotField showAll="0"/>
    <pivotField showAll="0"/>
    <pivotField showAll="0"/>
    <pivotField dataField="1" showAll="0"/>
    <pivotField showAll="0"/>
    <pivotField showAll="0">
      <items count="5">
        <item x="2"/>
        <item x="3"/>
        <item x="0"/>
        <item x="1"/>
        <item t="default"/>
      </items>
    </pivotField>
    <pivotField numFmtId="8" showAll="0"/>
    <pivotField showAll="0"/>
    <pivotField showAll="0"/>
    <pivotField showAll="0">
      <items count="17">
        <item x="7"/>
        <item x="2"/>
        <item x="12"/>
        <item x="9"/>
        <item x="13"/>
        <item x="10"/>
        <item x="1"/>
        <item x="4"/>
        <item x="11"/>
        <item x="5"/>
        <item x="3"/>
        <item x="8"/>
        <item x="6"/>
        <item x="14"/>
        <item x="15"/>
        <item x="0"/>
        <item t="default"/>
      </items>
    </pivotField>
    <pivotField axis="axisRow" showAll="0">
      <items count="4">
        <item x="1"/>
        <item x="0"/>
        <item x="2"/>
        <item t="default"/>
      </items>
    </pivotField>
  </pivotFields>
  <rowFields count="1">
    <field x="10"/>
  </rowFields>
  <rowItems count="4">
    <i>
      <x/>
    </i>
    <i>
      <x v="1"/>
    </i>
    <i>
      <x v="2"/>
    </i>
    <i t="grand">
      <x/>
    </i>
  </rowItems>
  <colItems count="1">
    <i/>
  </colItems>
  <dataFields count="1">
    <dataField name="Sum of Rating"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0" count="1" selected="0">
            <x v="0"/>
          </reference>
        </references>
      </pivotArea>
    </chartFormat>
    <chartFormat chart="1" format="5">
      <pivotArea type="data" outline="0" fieldPosition="0">
        <references count="2">
          <reference field="4294967294" count="1" selected="0">
            <x v="0"/>
          </reference>
          <reference field="10" count="1" selected="0">
            <x v="1"/>
          </reference>
        </references>
      </pivotArea>
    </chartFormat>
    <chartFormat chart="1" format="6">
      <pivotArea type="data" outline="0" fieldPosition="0">
        <references count="2">
          <reference field="4294967294" count="1" selected="0">
            <x v="0"/>
          </reference>
          <reference field="10"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0BF94A-F544-4BDB-B9C8-770C11BA1A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L10" firstHeaderRow="1" firstDataRow="1" firstDataCol="0"/>
  <pivotFields count="11">
    <pivotField showAll="0"/>
    <pivotField showAll="0"/>
    <pivotField showAll="0"/>
    <pivotField showAll="0"/>
    <pivotField showAll="0"/>
    <pivotField showAll="0">
      <items count="5">
        <item x="2"/>
        <item x="3"/>
        <item x="0"/>
        <item x="1"/>
        <item t="default"/>
      </items>
    </pivotField>
    <pivotField dataField="1" numFmtId="8" showAll="0"/>
    <pivotField showAll="0"/>
    <pivotField showAll="0"/>
    <pivotField showAll="0">
      <items count="17">
        <item x="7"/>
        <item x="2"/>
        <item x="12"/>
        <item x="9"/>
        <item x="13"/>
        <item x="10"/>
        <item x="1"/>
        <item x="4"/>
        <item x="11"/>
        <item x="5"/>
        <item x="3"/>
        <item x="8"/>
        <item x="6"/>
        <item x="14"/>
        <item x="15"/>
        <item x="0"/>
        <item t="default"/>
      </items>
    </pivotField>
    <pivotField showAll="0"/>
  </pivotFields>
  <rowItems count="1">
    <i/>
  </rowItems>
  <colItems count="1">
    <i/>
  </colItems>
  <dataFields count="1">
    <dataField name="Sum of price" fld="6" baseField="0" baseItem="0" numFmtId="3"/>
  </dataFields>
  <formats count="6">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35C7E-E73F-45D4-BF11-3C40190E787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L14" firstHeaderRow="1" firstDataRow="1" firstDataCol="0"/>
  <pivotFields count="11">
    <pivotField showAll="0"/>
    <pivotField showAll="0"/>
    <pivotField showAll="0"/>
    <pivotField dataField="1" showAll="0"/>
    <pivotField showAll="0"/>
    <pivotField showAll="0">
      <items count="5">
        <item x="2"/>
        <item x="3"/>
        <item x="0"/>
        <item x="1"/>
        <item t="default"/>
      </items>
    </pivotField>
    <pivotField numFmtId="8" showAll="0"/>
    <pivotField showAll="0"/>
    <pivotField showAll="0"/>
    <pivotField showAll="0">
      <items count="17">
        <item x="7"/>
        <item x="2"/>
        <item x="12"/>
        <item x="9"/>
        <item x="13"/>
        <item x="10"/>
        <item x="1"/>
        <item x="4"/>
        <item x="11"/>
        <item x="5"/>
        <item x="3"/>
        <item x="8"/>
        <item x="6"/>
        <item x="14"/>
        <item x="15"/>
        <item x="0"/>
        <item t="default"/>
      </items>
    </pivotField>
    <pivotField showAll="0"/>
  </pivotFields>
  <rowItems count="1">
    <i/>
  </rowItems>
  <colItems count="1">
    <i/>
  </colItems>
  <dataFields count="1">
    <dataField name="Average of Rating" fld="3" subtotal="average" baseField="0" baseItem="0"/>
  </dataFields>
  <formats count="6">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 xr10:uid="{7DF57C89-D02E-46F7-AFC2-9F65356D2037}" sourceName="form">
  <pivotTables>
    <pivotTable tabId="3" name="PivotTable2"/>
    <pivotTable tabId="5" name="PivotTable4"/>
    <pivotTable tabId="2" name="PivotTable1"/>
    <pivotTable tabId="4" name="PivotTable3"/>
    <pivotTable tabId="1" name="PivotTable1"/>
    <pivotTable tabId="1" name="PivotTable3"/>
    <pivotTable tabId="7" name="PivotTable2"/>
  </pivotTables>
  <data>
    <tabular pivotCacheId="28960229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413792B-5122-4577-84AF-993CFFA52CEA}" sourceName="Genre">
  <pivotTables>
    <pivotTable tabId="3" name="PivotTable2"/>
    <pivotTable tabId="5" name="PivotTable4"/>
    <pivotTable tabId="2" name="PivotTable1"/>
    <pivotTable tabId="4" name="PivotTable3"/>
    <pivotTable tabId="1" name="PivotTable1"/>
    <pivotTable tabId="1" name="PivotTable3"/>
    <pivotTable tabId="7" name="PivotTable2"/>
  </pivotTables>
  <data>
    <tabular pivotCacheId="289602290">
      <items count="16">
        <i x="7" s="1"/>
        <i x="2" s="1"/>
        <i x="12" s="1"/>
        <i x="9" s="1"/>
        <i x="13" s="1"/>
        <i x="10" s="1"/>
        <i x="1" s="1"/>
        <i x="4" s="1"/>
        <i x="11" s="1"/>
        <i x="5" s="1"/>
        <i x="3" s="1"/>
        <i x="8" s="1"/>
        <i x="6" s="1"/>
        <i x="14" s="1"/>
        <i x="1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 xr10:uid="{4636BF71-0C70-4532-AF5A-713B38BC0E35}" cache="Slicer_form" caption="form" rowHeight="247650"/>
  <slicer name="Genre" xr10:uid="{0DCB25D4-F935-4657-ACA1-92287F49D0F6}" cache="Slicer_Genre" caption="Genre"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B75A05-9AAB-4F0B-83AD-0DD2FE7C372F}" name="Table1" displayName="Table1" ref="A1:K101" totalsRowShown="0" headerRowDxfId="84" dataDxfId="83">
  <autoFilter ref="A1:K101" xr:uid="{FAB75A05-9AAB-4F0B-83AD-0DD2FE7C372F}"/>
  <tableColumns count="11">
    <tableColumn id="1" xr3:uid="{1D0AEB5E-6BEA-4B17-B4ED-9E56B841165A}" name="index" dataDxfId="82"/>
    <tableColumn id="2" xr3:uid="{AFF0BF44-54CD-45E8-B978-CD30ECDB343D}" name="Book name" dataDxfId="81"/>
    <tableColumn id="3" xr3:uid="{3D793DF1-8989-4A95-81D6-4C21AFC0FB15}" name="Author" dataDxfId="80"/>
    <tableColumn id="4" xr3:uid="{F1557048-DF78-44FF-BD90-1C0A2D5925E8}" name="Rating" dataDxfId="79"/>
    <tableColumn id="5" xr3:uid="{655546E1-95E3-4BE0-A344-737D9FA731E7}" name="reviews count" dataDxfId="78"/>
    <tableColumn id="6" xr3:uid="{7F525029-A99B-4D1A-9E28-B2BA97803207}" name="form" dataDxfId="77"/>
    <tableColumn id="7" xr3:uid="{3E2ACF81-AF6C-4EF7-963C-C658B4CC248C}" name="price" dataDxfId="76"/>
    <tableColumn id="9" xr3:uid="{E9EB0EA8-2DEB-42F9-BF33-BFC3C917D071}" name="Print Length" dataDxfId="75"/>
    <tableColumn id="10" xr3:uid="{7DE51216-6E59-45D9-88EE-D3FEFEF09583}" name="Publishing date" dataDxfId="74"/>
    <tableColumn id="11" xr3:uid="{3A32334A-3C5A-4982-9FA1-984471F3A6A7}" name="Genre" dataDxfId="73"/>
    <tableColumn id="8" xr3:uid="{34D6B967-22FE-4A54-9566-4FF9164A4828}" name="Price Category" dataDxfId="72">
      <calculatedColumnFormula array="1">_xlfn.IFS(G2&lt;10, "Budget", G2&lt;20, "Mid-range", G2&gt;=20, "Premium")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544F-9E7E-4DE1-A5F5-D5CADF497CDA}">
  <dimension ref="A3:B9"/>
  <sheetViews>
    <sheetView workbookViewId="0">
      <selection activeCell="A3" sqref="A3"/>
    </sheetView>
  </sheetViews>
  <sheetFormatPr defaultRowHeight="14.4" x14ac:dyDescent="0.3"/>
  <cols>
    <col min="1" max="1" width="116.44140625" bestFit="1" customWidth="1"/>
    <col min="2" max="2" width="11.33203125" bestFit="1" customWidth="1"/>
  </cols>
  <sheetData>
    <row r="3" spans="1:2" x14ac:dyDescent="0.3">
      <c r="A3" s="7" t="s">
        <v>269</v>
      </c>
      <c r="B3" t="s">
        <v>271</v>
      </c>
    </row>
    <row r="4" spans="1:2" x14ac:dyDescent="0.3">
      <c r="A4" s="8" t="s">
        <v>206</v>
      </c>
      <c r="B4" s="9">
        <v>24.62</v>
      </c>
    </row>
    <row r="5" spans="1:2" x14ac:dyDescent="0.3">
      <c r="A5" s="8" t="s">
        <v>203</v>
      </c>
      <c r="B5" s="9">
        <v>24.99</v>
      </c>
    </row>
    <row r="6" spans="1:2" x14ac:dyDescent="0.3">
      <c r="A6" s="8" t="s">
        <v>114</v>
      </c>
      <c r="B6" s="9">
        <v>26.91</v>
      </c>
    </row>
    <row r="7" spans="1:2" x14ac:dyDescent="0.3">
      <c r="A7" s="8" t="s">
        <v>195</v>
      </c>
      <c r="B7" s="9">
        <v>47.9</v>
      </c>
    </row>
    <row r="8" spans="1:2" x14ac:dyDescent="0.3">
      <c r="A8" s="8" t="s">
        <v>217</v>
      </c>
      <c r="B8" s="9">
        <v>52.62</v>
      </c>
    </row>
    <row r="9" spans="1:2" x14ac:dyDescent="0.3">
      <c r="A9" s="8" t="s">
        <v>270</v>
      </c>
      <c r="B9" s="9">
        <v>177.04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6A45-C3E5-48B6-B51F-9C8A5BF75D25}">
  <dimension ref="A3:B9"/>
  <sheetViews>
    <sheetView workbookViewId="0">
      <selection activeCell="A4" sqref="A4"/>
    </sheetView>
  </sheetViews>
  <sheetFormatPr defaultRowHeight="14.4" x14ac:dyDescent="0.3"/>
  <cols>
    <col min="1" max="1" width="24.5546875" bestFit="1" customWidth="1"/>
    <col min="2" max="2" width="12.21875" bestFit="1" customWidth="1"/>
  </cols>
  <sheetData>
    <row r="3" spans="1:2" x14ac:dyDescent="0.3">
      <c r="A3" s="7" t="s">
        <v>269</v>
      </c>
      <c r="B3" t="s">
        <v>272</v>
      </c>
    </row>
    <row r="4" spans="1:2" x14ac:dyDescent="0.3">
      <c r="A4" s="8" t="s">
        <v>123</v>
      </c>
      <c r="B4" s="9">
        <v>9.3000000000000007</v>
      </c>
    </row>
    <row r="5" spans="1:2" x14ac:dyDescent="0.3">
      <c r="A5" s="8" t="s">
        <v>245</v>
      </c>
      <c r="B5" s="9">
        <v>9.6</v>
      </c>
    </row>
    <row r="6" spans="1:2" x14ac:dyDescent="0.3">
      <c r="A6" s="8" t="s">
        <v>14</v>
      </c>
      <c r="B6" s="9">
        <v>14.1</v>
      </c>
    </row>
    <row r="7" spans="1:2" x14ac:dyDescent="0.3">
      <c r="A7" s="8" t="s">
        <v>63</v>
      </c>
      <c r="B7" s="9">
        <v>23.099999999999998</v>
      </c>
    </row>
    <row r="8" spans="1:2" x14ac:dyDescent="0.3">
      <c r="A8" s="8" t="s">
        <v>35</v>
      </c>
      <c r="B8" s="9">
        <v>23.1</v>
      </c>
    </row>
    <row r="9" spans="1:2" x14ac:dyDescent="0.3">
      <c r="A9" s="8" t="s">
        <v>270</v>
      </c>
      <c r="B9" s="9">
        <v>79.2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359E-07D3-4DC9-BF95-3FD30820E238}">
  <dimension ref="A3:B9"/>
  <sheetViews>
    <sheetView workbookViewId="0">
      <selection activeCell="A3" sqref="A3"/>
    </sheetView>
  </sheetViews>
  <sheetFormatPr defaultRowHeight="14.4" x14ac:dyDescent="0.3"/>
  <cols>
    <col min="1" max="1" width="23.77734375" bestFit="1" customWidth="1"/>
    <col min="2" max="2" width="12.21875" bestFit="1" customWidth="1"/>
  </cols>
  <sheetData>
    <row r="3" spans="1:2" x14ac:dyDescent="0.3">
      <c r="A3" s="7" t="s">
        <v>269</v>
      </c>
      <c r="B3" t="s">
        <v>272</v>
      </c>
    </row>
    <row r="4" spans="1:2" x14ac:dyDescent="0.3">
      <c r="A4" s="8" t="s">
        <v>33</v>
      </c>
      <c r="B4" s="9">
        <v>28.299999999999997</v>
      </c>
    </row>
    <row r="5" spans="1:2" x14ac:dyDescent="0.3">
      <c r="A5" s="8" t="s">
        <v>19</v>
      </c>
      <c r="B5" s="9">
        <v>32.1</v>
      </c>
    </row>
    <row r="6" spans="1:2" x14ac:dyDescent="0.3">
      <c r="A6" s="8" t="s">
        <v>12</v>
      </c>
      <c r="B6" s="9">
        <v>37.699999999999996</v>
      </c>
    </row>
    <row r="7" spans="1:2" x14ac:dyDescent="0.3">
      <c r="A7" s="8" t="s">
        <v>45</v>
      </c>
      <c r="B7" s="9">
        <v>86.999999999999986</v>
      </c>
    </row>
    <row r="8" spans="1:2" x14ac:dyDescent="0.3">
      <c r="A8" s="8" t="s">
        <v>15</v>
      </c>
      <c r="B8" s="9">
        <v>149.4</v>
      </c>
    </row>
    <row r="9" spans="1:2" x14ac:dyDescent="0.3">
      <c r="A9" s="8" t="s">
        <v>270</v>
      </c>
      <c r="B9" s="9">
        <v>334.5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6CDD-E9E2-4280-A89A-5FAC54B75FE1}">
  <dimension ref="A3:B8"/>
  <sheetViews>
    <sheetView workbookViewId="0">
      <selection activeCell="B7" sqref="B7"/>
    </sheetView>
  </sheetViews>
  <sheetFormatPr defaultRowHeight="14.4" x14ac:dyDescent="0.3"/>
  <cols>
    <col min="1" max="1" width="12.44140625" bestFit="1" customWidth="1"/>
    <col min="2" max="2" width="12.21875" bestFit="1" customWidth="1"/>
    <col min="3" max="3" width="11.33203125" bestFit="1" customWidth="1"/>
  </cols>
  <sheetData>
    <row r="3" spans="1:2" x14ac:dyDescent="0.3">
      <c r="A3" s="7" t="s">
        <v>269</v>
      </c>
      <c r="B3" t="s">
        <v>272</v>
      </c>
    </row>
    <row r="4" spans="1:2" x14ac:dyDescent="0.3">
      <c r="A4" s="8" t="s">
        <v>44</v>
      </c>
      <c r="B4" s="9">
        <v>43.4</v>
      </c>
    </row>
    <row r="5" spans="1:2" x14ac:dyDescent="0.3">
      <c r="A5" s="8" t="s">
        <v>188</v>
      </c>
      <c r="B5" s="9">
        <v>4.8</v>
      </c>
    </row>
    <row r="6" spans="1:2" x14ac:dyDescent="0.3">
      <c r="A6" s="8" t="s">
        <v>11</v>
      </c>
      <c r="B6" s="9">
        <v>176.80000000000007</v>
      </c>
    </row>
    <row r="7" spans="1:2" x14ac:dyDescent="0.3">
      <c r="A7" s="8" t="s">
        <v>21</v>
      </c>
      <c r="B7" s="9">
        <v>240.00000000000009</v>
      </c>
    </row>
    <row r="8" spans="1:2" x14ac:dyDescent="0.3">
      <c r="A8" s="8" t="s">
        <v>270</v>
      </c>
      <c r="B8" s="9">
        <v>465.00000000000011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6A0A-956A-4801-BFD8-A7CC1A7E9827}">
  <dimension ref="A3:B7"/>
  <sheetViews>
    <sheetView workbookViewId="0">
      <selection activeCell="N6" sqref="N6"/>
    </sheetView>
  </sheetViews>
  <sheetFormatPr defaultRowHeight="14.4" x14ac:dyDescent="0.3"/>
  <cols>
    <col min="1" max="1" width="12.44140625" bestFit="1" customWidth="1"/>
    <col min="2" max="2" width="12.21875" bestFit="1" customWidth="1"/>
  </cols>
  <sheetData>
    <row r="3" spans="1:2" x14ac:dyDescent="0.3">
      <c r="A3" s="7" t="s">
        <v>269</v>
      </c>
      <c r="B3" t="s">
        <v>272</v>
      </c>
    </row>
    <row r="4" spans="1:2" x14ac:dyDescent="0.3">
      <c r="A4" s="8" t="s">
        <v>275</v>
      </c>
      <c r="B4" s="9">
        <v>210.50000000000017</v>
      </c>
    </row>
    <row r="5" spans="1:2" x14ac:dyDescent="0.3">
      <c r="A5" s="8" t="s">
        <v>276</v>
      </c>
      <c r="B5" s="9">
        <v>216.49999999999997</v>
      </c>
    </row>
    <row r="6" spans="1:2" x14ac:dyDescent="0.3">
      <c r="A6" s="8" t="s">
        <v>277</v>
      </c>
      <c r="B6" s="9">
        <v>38.000000000000007</v>
      </c>
    </row>
    <row r="7" spans="1:2" x14ac:dyDescent="0.3">
      <c r="A7" s="8" t="s">
        <v>270</v>
      </c>
      <c r="B7" s="9">
        <v>465.00000000000011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132A-A261-47A8-BA9B-2CD07DD913FD}">
  <dimension ref="A1:L101"/>
  <sheetViews>
    <sheetView topLeftCell="B1" zoomScale="85" zoomScaleNormal="85" workbookViewId="0">
      <selection activeCell="I23" sqref="I23:I24"/>
    </sheetView>
  </sheetViews>
  <sheetFormatPr defaultRowHeight="14.4" x14ac:dyDescent="0.3"/>
  <cols>
    <col min="1" max="1" width="7" style="4" customWidth="1"/>
    <col min="2" max="2" width="96.6640625" customWidth="1"/>
    <col min="3" max="3" width="36.77734375" style="1" bestFit="1" customWidth="1"/>
    <col min="4" max="4" width="14.109375" style="1" bestFit="1" customWidth="1"/>
    <col min="5" max="5" width="14.21875" style="1" customWidth="1"/>
    <col min="6" max="6" width="10" style="1" bestFit="1" customWidth="1"/>
    <col min="7" max="7" width="7.21875" style="1" customWidth="1"/>
    <col min="8" max="8" width="12.6640625" style="1" customWidth="1"/>
    <col min="9" max="9" width="24.77734375" style="5" bestFit="1" customWidth="1"/>
    <col min="10" max="10" width="24.5546875" style="1" bestFit="1" customWidth="1"/>
    <col min="11" max="11" width="18.5546875" style="1" bestFit="1" customWidth="1"/>
    <col min="12" max="12" width="15.6640625" bestFit="1" customWidth="1"/>
  </cols>
  <sheetData>
    <row r="1" spans="1:12" s="1" customFormat="1" x14ac:dyDescent="0.3">
      <c r="A1" s="1" t="s">
        <v>268</v>
      </c>
      <c r="B1" s="1" t="s">
        <v>0</v>
      </c>
      <c r="C1" s="1" t="s">
        <v>1</v>
      </c>
      <c r="D1" s="1" t="s">
        <v>2</v>
      </c>
      <c r="E1" s="1" t="s">
        <v>3</v>
      </c>
      <c r="F1" s="1" t="s">
        <v>4</v>
      </c>
      <c r="G1" s="1" t="s">
        <v>5</v>
      </c>
      <c r="H1" s="1" t="s">
        <v>6</v>
      </c>
      <c r="I1" s="5" t="s">
        <v>7</v>
      </c>
      <c r="J1" s="1" t="s">
        <v>8</v>
      </c>
      <c r="K1" s="1" t="s">
        <v>274</v>
      </c>
    </row>
    <row r="2" spans="1:12" x14ac:dyDescent="0.3">
      <c r="A2" s="4">
        <v>1</v>
      </c>
      <c r="B2" s="3" t="s">
        <v>9</v>
      </c>
      <c r="C2" s="1" t="s">
        <v>10</v>
      </c>
      <c r="D2" s="1">
        <v>4.8</v>
      </c>
      <c r="E2" s="1">
        <v>145747</v>
      </c>
      <c r="F2" s="1" t="s">
        <v>11</v>
      </c>
      <c r="G2" s="2">
        <v>18.88</v>
      </c>
      <c r="H2" s="1">
        <v>320</v>
      </c>
      <c r="I2" s="6">
        <v>43389</v>
      </c>
      <c r="J2" s="1" t="s">
        <v>12</v>
      </c>
      <c r="K2" s="3" t="str" cm="1">
        <f t="array" ref="K2">_xlfn.IFS(G2&lt;10, "Budget", G2&lt;20, "Mid-range", G2&gt;=20, "Premium")</f>
        <v>Mid-range</v>
      </c>
    </row>
    <row r="3" spans="1:12" x14ac:dyDescent="0.3">
      <c r="A3" s="4">
        <v>2</v>
      </c>
      <c r="B3" s="3" t="s">
        <v>13</v>
      </c>
      <c r="C3" s="1" t="s">
        <v>14</v>
      </c>
      <c r="D3" s="1">
        <v>4.7</v>
      </c>
      <c r="E3" s="1">
        <v>395512</v>
      </c>
      <c r="F3" s="1" t="s">
        <v>11</v>
      </c>
      <c r="G3" s="2">
        <v>11.05</v>
      </c>
      <c r="H3" s="1">
        <v>640</v>
      </c>
      <c r="I3" s="6">
        <v>45237</v>
      </c>
      <c r="J3" s="1" t="s">
        <v>15</v>
      </c>
      <c r="K3" s="3" t="str" cm="1">
        <f t="array" ref="K3">_xlfn.IFS(G3&lt;10, "Budget", G3&lt;20, "Mid-range", G3&gt;=20, "Premium")</f>
        <v>Mid-range</v>
      </c>
    </row>
    <row r="4" spans="1:12" x14ac:dyDescent="0.3">
      <c r="A4" s="4">
        <v>3</v>
      </c>
      <c r="B4" s="3" t="s">
        <v>16</v>
      </c>
      <c r="C4" s="1" t="s">
        <v>17</v>
      </c>
      <c r="D4" s="1">
        <v>4.5</v>
      </c>
      <c r="E4" s="1">
        <v>116101</v>
      </c>
      <c r="F4" s="1" t="s">
        <v>11</v>
      </c>
      <c r="G4" s="2">
        <v>11.99</v>
      </c>
      <c r="H4" s="1">
        <v>416</v>
      </c>
      <c r="I4" s="6" t="s">
        <v>18</v>
      </c>
      <c r="J4" s="1" t="s">
        <v>19</v>
      </c>
      <c r="K4" s="3" t="str" cm="1">
        <f t="array" ref="K4">_xlfn.IFS(G4&lt;10, "Budget", G4&lt;20, "Mid-range", G4&gt;=20, "Premium")</f>
        <v>Mid-range</v>
      </c>
    </row>
    <row r="5" spans="1:12" x14ac:dyDescent="0.3">
      <c r="A5" s="4">
        <v>4</v>
      </c>
      <c r="B5" s="3" t="s">
        <v>20</v>
      </c>
      <c r="C5" s="1" t="s">
        <v>14</v>
      </c>
      <c r="D5" s="1">
        <v>4.8</v>
      </c>
      <c r="E5" s="1">
        <v>472618</v>
      </c>
      <c r="F5" s="1" t="s">
        <v>21</v>
      </c>
      <c r="G5" s="2">
        <v>13.62</v>
      </c>
      <c r="H5" s="1">
        <v>544</v>
      </c>
      <c r="I5" s="6">
        <v>45552</v>
      </c>
      <c r="J5" s="1" t="s">
        <v>15</v>
      </c>
      <c r="K5" s="3" t="str" cm="1">
        <f t="array" ref="K5">_xlfn.IFS(G5&lt;10, "Budget", G5&lt;20, "Mid-range", G5&gt;=20, "Premium")</f>
        <v>Mid-range</v>
      </c>
    </row>
    <row r="6" spans="1:12" x14ac:dyDescent="0.3">
      <c r="A6" s="4">
        <v>5</v>
      </c>
      <c r="B6" s="3" t="s">
        <v>22</v>
      </c>
      <c r="C6" s="1" t="s">
        <v>23</v>
      </c>
      <c r="D6" s="1">
        <v>4.4000000000000004</v>
      </c>
      <c r="E6" s="1">
        <v>51520</v>
      </c>
      <c r="F6" s="1" t="s">
        <v>11</v>
      </c>
      <c r="G6" s="2">
        <v>11.37</v>
      </c>
      <c r="H6" s="1">
        <v>288</v>
      </c>
      <c r="I6" s="6" t="s">
        <v>24</v>
      </c>
      <c r="J6" s="1" t="s">
        <v>19</v>
      </c>
      <c r="K6" s="3" t="str" cm="1">
        <f t="array" ref="K6">_xlfn.IFS(G6&lt;10, "Budget", G6&lt;20, "Mid-range", G6&gt;=20, "Premium")</f>
        <v>Mid-range</v>
      </c>
    </row>
    <row r="7" spans="1:12" x14ac:dyDescent="0.3">
      <c r="A7" s="4">
        <v>6</v>
      </c>
      <c r="B7" s="3" t="s">
        <v>25</v>
      </c>
      <c r="C7" s="1" t="s">
        <v>26</v>
      </c>
      <c r="D7" s="1">
        <v>4.5999999999999996</v>
      </c>
      <c r="E7" s="1">
        <v>322650</v>
      </c>
      <c r="F7" s="1" t="s">
        <v>11</v>
      </c>
      <c r="G7" s="2">
        <v>13.94</v>
      </c>
      <c r="H7" s="1">
        <v>400</v>
      </c>
      <c r="I7" s="6" t="s">
        <v>27</v>
      </c>
      <c r="J7" s="1" t="s">
        <v>15</v>
      </c>
      <c r="K7" s="3" t="str" cm="1">
        <f t="array" ref="K7">_xlfn.IFS(G7&lt;10, "Budget", G7&lt;20, "Mid-range", G7&gt;=20, "Premium")</f>
        <v>Mid-range</v>
      </c>
    </row>
    <row r="8" spans="1:12" x14ac:dyDescent="0.3">
      <c r="A8" s="4">
        <v>7</v>
      </c>
      <c r="B8" s="3" t="s">
        <v>28</v>
      </c>
      <c r="C8" s="1" t="s">
        <v>29</v>
      </c>
      <c r="D8" s="1">
        <v>4.7</v>
      </c>
      <c r="E8" s="1">
        <v>87375</v>
      </c>
      <c r="F8" s="1" t="s">
        <v>21</v>
      </c>
      <c r="G8" s="2">
        <v>13.99</v>
      </c>
      <c r="H8" s="1">
        <v>452</v>
      </c>
      <c r="I8" s="6">
        <v>36770</v>
      </c>
      <c r="J8" s="1" t="s">
        <v>30</v>
      </c>
      <c r="K8" s="3" t="str" cm="1">
        <f t="array" ref="K8">_xlfn.IFS(G8&lt;10, "Budget", G8&lt;20, "Mid-range", G8&gt;=20, "Premium")</f>
        <v>Mid-range</v>
      </c>
    </row>
    <row r="9" spans="1:12" x14ac:dyDescent="0.3">
      <c r="A9" s="4">
        <v>8</v>
      </c>
      <c r="B9" s="3" t="s">
        <v>31</v>
      </c>
      <c r="C9" s="1" t="s">
        <v>32</v>
      </c>
      <c r="D9" s="1">
        <v>4.8</v>
      </c>
      <c r="E9" s="1">
        <v>82564</v>
      </c>
      <c r="F9" s="1" t="s">
        <v>21</v>
      </c>
      <c r="G9" s="2">
        <v>14.39</v>
      </c>
      <c r="H9" s="1">
        <v>464</v>
      </c>
      <c r="I9" s="6">
        <v>42255</v>
      </c>
      <c r="J9" s="1" t="s">
        <v>33</v>
      </c>
      <c r="K9" s="3" t="str" cm="1">
        <f t="array" ref="K9">_xlfn.IFS(G9&lt;10, "Budget", G9&lt;20, "Mid-range", G9&gt;=20, "Premium")</f>
        <v>Mid-range</v>
      </c>
      <c r="L9" s="1" t="s">
        <v>271</v>
      </c>
    </row>
    <row r="10" spans="1:12" x14ac:dyDescent="0.3">
      <c r="A10" s="4">
        <v>9</v>
      </c>
      <c r="B10" s="3" t="s">
        <v>34</v>
      </c>
      <c r="C10" s="1" t="s">
        <v>35</v>
      </c>
      <c r="D10" s="1">
        <v>4.5</v>
      </c>
      <c r="E10" s="1">
        <v>228242</v>
      </c>
      <c r="F10" s="1" t="s">
        <v>21</v>
      </c>
      <c r="G10" s="2">
        <v>1.88</v>
      </c>
      <c r="H10" s="1">
        <v>336</v>
      </c>
      <c r="I10" s="6">
        <v>44852</v>
      </c>
      <c r="J10" s="1" t="s">
        <v>15</v>
      </c>
      <c r="K10" s="3" t="str" cm="1">
        <f t="array" ref="K10">_xlfn.IFS(G10&lt;10, "Budget", G10&lt;20, "Mid-range", G10&gt;=20, "Premium")</f>
        <v>Budget</v>
      </c>
      <c r="L10" s="11">
        <v>1189.7800000000004</v>
      </c>
    </row>
    <row r="11" spans="1:12" x14ac:dyDescent="0.3">
      <c r="A11" s="4">
        <v>10</v>
      </c>
      <c r="B11" s="3" t="s">
        <v>36</v>
      </c>
      <c r="C11" s="1" t="s">
        <v>37</v>
      </c>
      <c r="D11" s="1">
        <v>4.5999999999999996</v>
      </c>
      <c r="E11" s="1">
        <v>19946</v>
      </c>
      <c r="F11" s="1" t="s">
        <v>11</v>
      </c>
      <c r="G11" s="2">
        <v>18</v>
      </c>
      <c r="H11" s="1">
        <v>496</v>
      </c>
      <c r="I11" s="6">
        <v>45013</v>
      </c>
      <c r="J11" s="1" t="s">
        <v>33</v>
      </c>
      <c r="K11" s="3" t="str" cm="1">
        <f t="array" ref="K11">_xlfn.IFS(G11&lt;10, "Budget", G11&lt;20, "Mid-range", G11&gt;=20, "Premium")</f>
        <v>Mid-range</v>
      </c>
      <c r="L11" s="1"/>
    </row>
    <row r="12" spans="1:12" x14ac:dyDescent="0.3">
      <c r="A12" s="4">
        <v>11</v>
      </c>
      <c r="B12" s="3" t="s">
        <v>38</v>
      </c>
      <c r="C12" s="1" t="s">
        <v>35</v>
      </c>
      <c r="D12" s="1">
        <v>4.7</v>
      </c>
      <c r="E12" s="1">
        <v>405311</v>
      </c>
      <c r="F12" s="1" t="s">
        <v>21</v>
      </c>
      <c r="G12" s="2">
        <v>9.0299999999999994</v>
      </c>
      <c r="H12" s="1">
        <v>384</v>
      </c>
      <c r="I12" s="6">
        <v>42584</v>
      </c>
      <c r="J12" s="1" t="s">
        <v>15</v>
      </c>
      <c r="K12" s="3" t="str" cm="1">
        <f t="array" ref="K12">_xlfn.IFS(G12&lt;10, "Budget", G12&lt;20, "Mid-range", G12&gt;=20, "Premium")</f>
        <v>Budget</v>
      </c>
      <c r="L12" s="1"/>
    </row>
    <row r="13" spans="1:12" x14ac:dyDescent="0.3">
      <c r="A13" s="4">
        <v>12</v>
      </c>
      <c r="B13" s="3" t="s">
        <v>39</v>
      </c>
      <c r="C13" s="1" t="s">
        <v>40</v>
      </c>
      <c r="D13" s="1">
        <v>4.5</v>
      </c>
      <c r="E13" s="1">
        <v>653111</v>
      </c>
      <c r="F13" s="1" t="s">
        <v>21</v>
      </c>
      <c r="G13" s="2">
        <v>9.69</v>
      </c>
      <c r="H13" s="1">
        <v>336</v>
      </c>
      <c r="I13" s="6">
        <v>44796</v>
      </c>
      <c r="J13" s="1" t="s">
        <v>41</v>
      </c>
      <c r="K13" s="3" t="str" cm="1">
        <f t="array" ref="K13">_xlfn.IFS(G13&lt;10, "Budget", G13&lt;20, "Mid-range", G13&gt;=20, "Premium")</f>
        <v>Budget</v>
      </c>
      <c r="L13" s="1" t="s">
        <v>273</v>
      </c>
    </row>
    <row r="14" spans="1:12" x14ac:dyDescent="0.3">
      <c r="A14" s="4">
        <v>13</v>
      </c>
      <c r="B14" s="3" t="s">
        <v>42</v>
      </c>
      <c r="C14" s="1" t="s">
        <v>43</v>
      </c>
      <c r="D14" s="1">
        <v>4.9000000000000004</v>
      </c>
      <c r="E14" s="1">
        <v>78436</v>
      </c>
      <c r="F14" s="1" t="s">
        <v>44</v>
      </c>
      <c r="G14" s="2">
        <v>5.75</v>
      </c>
      <c r="H14" s="1">
        <v>26</v>
      </c>
      <c r="I14" s="6">
        <v>34416</v>
      </c>
      <c r="J14" s="1" t="s">
        <v>45</v>
      </c>
      <c r="K14" s="3" t="str" cm="1">
        <f t="array" ref="K14">_xlfn.IFS(G14&lt;10, "Budget", G14&lt;20, "Mid-range", G14&gt;=20, "Premium")</f>
        <v>Budget</v>
      </c>
      <c r="L14" s="12">
        <v>4.6500000000000004</v>
      </c>
    </row>
    <row r="15" spans="1:12" x14ac:dyDescent="0.3">
      <c r="A15" s="4">
        <v>14</v>
      </c>
      <c r="B15" s="3" t="s">
        <v>46</v>
      </c>
      <c r="C15" s="1" t="s">
        <v>47</v>
      </c>
      <c r="D15" s="1">
        <v>4.4000000000000004</v>
      </c>
      <c r="E15" s="1">
        <v>80996</v>
      </c>
      <c r="F15" s="1" t="s">
        <v>21</v>
      </c>
      <c r="G15" s="2">
        <v>9.99</v>
      </c>
      <c r="H15" s="1">
        <v>416</v>
      </c>
      <c r="I15" s="6" t="s">
        <v>48</v>
      </c>
      <c r="J15" s="1" t="s">
        <v>30</v>
      </c>
      <c r="K15" s="3" t="str" cm="1">
        <f t="array" ref="K15">_xlfn.IFS(G15&lt;10, "Budget", G15&lt;20, "Mid-range", G15&gt;=20, "Premium")</f>
        <v>Budget</v>
      </c>
    </row>
    <row r="16" spans="1:12" x14ac:dyDescent="0.3">
      <c r="A16" s="4">
        <v>15</v>
      </c>
      <c r="B16" s="3" t="s">
        <v>49</v>
      </c>
      <c r="C16" s="1" t="s">
        <v>35</v>
      </c>
      <c r="D16" s="1">
        <v>4.5999999999999996</v>
      </c>
      <c r="E16" s="1">
        <v>443390</v>
      </c>
      <c r="F16" s="1" t="s">
        <v>21</v>
      </c>
      <c r="G16" s="2">
        <v>12.09</v>
      </c>
      <c r="H16" s="1">
        <v>336</v>
      </c>
      <c r="I16" s="6">
        <v>44495</v>
      </c>
      <c r="J16" s="1" t="s">
        <v>15</v>
      </c>
      <c r="K16" s="3" t="str" cm="1">
        <f t="array" ref="K16">_xlfn.IFS(G16&lt;10, "Budget", G16&lt;20, "Mid-range", G16&gt;=20, "Premium")</f>
        <v>Mid-range</v>
      </c>
    </row>
    <row r="17" spans="1:11" x14ac:dyDescent="0.3">
      <c r="A17" s="4">
        <v>16</v>
      </c>
      <c r="B17" s="3" t="s">
        <v>50</v>
      </c>
      <c r="C17" s="1" t="s">
        <v>51</v>
      </c>
      <c r="D17" s="1">
        <v>4.5999999999999996</v>
      </c>
      <c r="E17" s="1">
        <v>270507</v>
      </c>
      <c r="F17" s="1" t="s">
        <v>21</v>
      </c>
      <c r="G17" s="2">
        <v>6.91</v>
      </c>
      <c r="H17" s="1">
        <v>400</v>
      </c>
      <c r="I17" s="6">
        <v>43249</v>
      </c>
      <c r="J17" s="1" t="s">
        <v>15</v>
      </c>
      <c r="K17" s="3" t="str" cm="1">
        <f t="array" ref="K17">_xlfn.IFS(G17&lt;10, "Budget", G17&lt;20, "Mid-range", G17&gt;=20, "Premium")</f>
        <v>Budget</v>
      </c>
    </row>
    <row r="18" spans="1:11" x14ac:dyDescent="0.3">
      <c r="A18" s="4">
        <v>17</v>
      </c>
      <c r="B18" s="3" t="s">
        <v>52</v>
      </c>
      <c r="C18" s="1" t="s">
        <v>53</v>
      </c>
      <c r="D18" s="1">
        <v>4.7</v>
      </c>
      <c r="E18" s="1">
        <v>10805</v>
      </c>
      <c r="F18" s="1" t="s">
        <v>11</v>
      </c>
      <c r="G18" s="2">
        <v>16.989999999999998</v>
      </c>
      <c r="H18" s="1">
        <v>432</v>
      </c>
      <c r="I18" s="6">
        <v>44943</v>
      </c>
      <c r="J18" s="1" t="s">
        <v>33</v>
      </c>
      <c r="K18" s="3" t="str" cm="1">
        <f t="array" ref="K18">_xlfn.IFS(G18&lt;10, "Budget", G18&lt;20, "Mid-range", G18&gt;=20, "Premium")</f>
        <v>Mid-range</v>
      </c>
    </row>
    <row r="19" spans="1:11" x14ac:dyDescent="0.3">
      <c r="A19" s="4">
        <v>18</v>
      </c>
      <c r="B19" s="3" t="s">
        <v>54</v>
      </c>
      <c r="C19" s="1" t="s">
        <v>55</v>
      </c>
      <c r="D19" s="1">
        <v>4.9000000000000004</v>
      </c>
      <c r="E19" s="1">
        <v>9344</v>
      </c>
      <c r="F19" s="1" t="s">
        <v>11</v>
      </c>
      <c r="G19" s="2">
        <v>4.3499999999999996</v>
      </c>
      <c r="H19" s="1">
        <v>24</v>
      </c>
      <c r="I19" s="6">
        <v>45048</v>
      </c>
      <c r="J19" s="1" t="s">
        <v>56</v>
      </c>
      <c r="K19" s="3" t="str" cm="1">
        <f t="array" ref="K19">_xlfn.IFS(G19&lt;10, "Budget", G19&lt;20, "Mid-range", G19&gt;=20, "Premium")</f>
        <v>Budget</v>
      </c>
    </row>
    <row r="20" spans="1:11" x14ac:dyDescent="0.3">
      <c r="A20" s="4">
        <v>19</v>
      </c>
      <c r="B20" s="3" t="s">
        <v>57</v>
      </c>
      <c r="C20" s="1" t="s">
        <v>58</v>
      </c>
      <c r="D20" s="1">
        <v>4.7</v>
      </c>
      <c r="E20" s="1">
        <v>119661</v>
      </c>
      <c r="F20" s="1" t="s">
        <v>21</v>
      </c>
      <c r="G20" s="2">
        <v>7.05</v>
      </c>
      <c r="H20" s="1">
        <v>160</v>
      </c>
      <c r="I20" s="6">
        <v>35741</v>
      </c>
      <c r="J20" s="1" t="s">
        <v>12</v>
      </c>
      <c r="K20" s="3" t="str" cm="1">
        <f t="array" ref="K20">_xlfn.IFS(G20&lt;10, "Budget", G20&lt;20, "Mid-range", G20&gt;=20, "Premium")</f>
        <v>Budget</v>
      </c>
    </row>
    <row r="21" spans="1:11" x14ac:dyDescent="0.3">
      <c r="A21" s="4">
        <v>20</v>
      </c>
      <c r="B21" s="3" t="s">
        <v>59</v>
      </c>
      <c r="C21" s="1" t="s">
        <v>60</v>
      </c>
      <c r="D21" s="1">
        <v>4.5999999999999996</v>
      </c>
      <c r="E21" s="1">
        <v>146667</v>
      </c>
      <c r="F21" s="1" t="s">
        <v>11</v>
      </c>
      <c r="G21" s="2">
        <v>17.100000000000001</v>
      </c>
      <c r="H21" s="1">
        <v>560</v>
      </c>
      <c r="I21" s="6" t="s">
        <v>61</v>
      </c>
      <c r="J21" s="1" t="s">
        <v>15</v>
      </c>
      <c r="K21" s="3" t="str" cm="1">
        <f t="array" ref="K21">_xlfn.IFS(G21&lt;10, "Budget", G21&lt;20, "Mid-range", G21&gt;=20, "Premium")</f>
        <v>Mid-range</v>
      </c>
    </row>
    <row r="22" spans="1:11" x14ac:dyDescent="0.3">
      <c r="A22" s="4">
        <v>21</v>
      </c>
      <c r="B22" s="3" t="s">
        <v>62</v>
      </c>
      <c r="C22" s="1" t="s">
        <v>63</v>
      </c>
      <c r="D22" s="1">
        <v>4.5999999999999996</v>
      </c>
      <c r="E22" s="1">
        <v>314472</v>
      </c>
      <c r="F22" s="1" t="s">
        <v>21</v>
      </c>
      <c r="G22" s="2">
        <v>12.8</v>
      </c>
      <c r="H22" s="1">
        <v>448</v>
      </c>
      <c r="I22" s="6">
        <v>43984</v>
      </c>
      <c r="J22" s="1" t="s">
        <v>15</v>
      </c>
      <c r="K22" s="3" t="str" cm="1">
        <f t="array" ref="K22">_xlfn.IFS(G22&lt;10, "Budget", G22&lt;20, "Mid-range", G22&gt;=20, "Premium")</f>
        <v>Mid-range</v>
      </c>
    </row>
    <row r="23" spans="1:11" x14ac:dyDescent="0.3">
      <c r="A23" s="4">
        <v>22</v>
      </c>
      <c r="B23" s="3" t="s">
        <v>64</v>
      </c>
      <c r="C23" s="1" t="s">
        <v>65</v>
      </c>
      <c r="D23" s="1">
        <v>4.5999999999999996</v>
      </c>
      <c r="E23" s="1">
        <v>15400</v>
      </c>
      <c r="F23" s="1" t="s">
        <v>21</v>
      </c>
      <c r="G23" s="2">
        <v>10.41</v>
      </c>
      <c r="H23" s="1">
        <v>196</v>
      </c>
      <c r="I23" s="6">
        <v>44760</v>
      </c>
      <c r="J23" s="1" t="s">
        <v>66</v>
      </c>
      <c r="K23" s="3" t="str" cm="1">
        <f t="array" ref="K23">_xlfn.IFS(G23&lt;10, "Budget", G23&lt;20, "Mid-range", G23&gt;=20, "Premium")</f>
        <v>Mid-range</v>
      </c>
    </row>
    <row r="24" spans="1:11" x14ac:dyDescent="0.3">
      <c r="A24" s="4">
        <v>23</v>
      </c>
      <c r="B24" s="3" t="s">
        <v>67</v>
      </c>
      <c r="C24" s="1" t="s">
        <v>68</v>
      </c>
      <c r="D24" s="1">
        <v>4.7</v>
      </c>
      <c r="E24" s="1">
        <v>13081</v>
      </c>
      <c r="F24" s="1" t="s">
        <v>11</v>
      </c>
      <c r="G24" s="2">
        <v>2.0299999999999998</v>
      </c>
      <c r="H24" s="1">
        <v>224</v>
      </c>
      <c r="I24" s="6" t="s">
        <v>24</v>
      </c>
      <c r="J24" s="1" t="s">
        <v>45</v>
      </c>
      <c r="K24" s="3" t="str" cm="1">
        <f t="array" ref="K24">_xlfn.IFS(G24&lt;10, "Budget", G24&lt;20, "Mid-range", G24&gt;=20, "Premium")</f>
        <v>Budget</v>
      </c>
    </row>
    <row r="25" spans="1:11" x14ac:dyDescent="0.3">
      <c r="A25" s="4">
        <v>24</v>
      </c>
      <c r="B25" s="3" t="s">
        <v>69</v>
      </c>
      <c r="C25" s="1" t="s">
        <v>70</v>
      </c>
      <c r="D25" s="1">
        <v>4.9000000000000004</v>
      </c>
      <c r="E25" s="1">
        <v>80263</v>
      </c>
      <c r="F25" s="1" t="s">
        <v>44</v>
      </c>
      <c r="G25" s="2">
        <v>3.97</v>
      </c>
      <c r="H25" s="1">
        <v>28</v>
      </c>
      <c r="I25" s="6">
        <v>42066</v>
      </c>
      <c r="J25" s="1" t="s">
        <v>45</v>
      </c>
      <c r="K25" s="3" t="str" cm="1">
        <f t="array" ref="K25">_xlfn.IFS(G25&lt;10, "Budget", G25&lt;20, "Mid-range", G25&gt;=20, "Premium")</f>
        <v>Budget</v>
      </c>
    </row>
    <row r="26" spans="1:11" x14ac:dyDescent="0.3">
      <c r="A26" s="4">
        <v>25</v>
      </c>
      <c r="B26" s="3" t="s">
        <v>71</v>
      </c>
      <c r="C26" s="1" t="s">
        <v>72</v>
      </c>
      <c r="D26" s="1">
        <v>4.8</v>
      </c>
      <c r="E26" s="1">
        <v>11089</v>
      </c>
      <c r="F26" s="1" t="s">
        <v>11</v>
      </c>
      <c r="G26" s="2">
        <v>5.48</v>
      </c>
      <c r="H26" s="1">
        <v>240</v>
      </c>
      <c r="I26" s="6" t="s">
        <v>73</v>
      </c>
      <c r="J26" s="1" t="s">
        <v>74</v>
      </c>
      <c r="K26" s="3" t="str" cm="1">
        <f t="array" ref="K26">_xlfn.IFS(G26&lt;10, "Budget", G26&lt;20, "Mid-range", G26&gt;=20, "Premium")</f>
        <v>Budget</v>
      </c>
    </row>
    <row r="27" spans="1:11" x14ac:dyDescent="0.3">
      <c r="A27" s="4">
        <v>26</v>
      </c>
      <c r="B27" s="3" t="s">
        <v>75</v>
      </c>
      <c r="C27" s="1" t="s">
        <v>76</v>
      </c>
      <c r="D27" s="1">
        <v>4.5</v>
      </c>
      <c r="E27" s="1">
        <v>232211</v>
      </c>
      <c r="F27" s="1" t="s">
        <v>21</v>
      </c>
      <c r="G27" s="2">
        <v>9.77</v>
      </c>
      <c r="H27" s="1">
        <v>570</v>
      </c>
      <c r="I27" s="6" t="s">
        <v>77</v>
      </c>
      <c r="J27" s="1" t="s">
        <v>15</v>
      </c>
      <c r="K27" s="3" t="str" cm="1">
        <f t="array" ref="K27">_xlfn.IFS(G27&lt;10, "Budget", G27&lt;20, "Mid-range", G27&gt;=20, "Premium")</f>
        <v>Budget</v>
      </c>
    </row>
    <row r="28" spans="1:11" x14ac:dyDescent="0.3">
      <c r="A28" s="4">
        <v>27</v>
      </c>
      <c r="B28" s="3" t="s">
        <v>78</v>
      </c>
      <c r="C28" s="1" t="s">
        <v>79</v>
      </c>
      <c r="D28" s="1">
        <v>4.5999999999999996</v>
      </c>
      <c r="E28" s="1">
        <v>94536</v>
      </c>
      <c r="F28" s="1" t="s">
        <v>11</v>
      </c>
      <c r="G28" s="2">
        <v>17.96</v>
      </c>
      <c r="H28" s="1">
        <v>736</v>
      </c>
      <c r="I28" s="6" t="s">
        <v>80</v>
      </c>
      <c r="J28" s="1" t="s">
        <v>15</v>
      </c>
      <c r="K28" s="3" t="str" cm="1">
        <f t="array" ref="K28">_xlfn.IFS(G28&lt;10, "Budget", G28&lt;20, "Mid-range", G28&gt;=20, "Premium")</f>
        <v>Mid-range</v>
      </c>
    </row>
    <row r="29" spans="1:11" x14ac:dyDescent="0.3">
      <c r="A29" s="4">
        <v>28</v>
      </c>
      <c r="B29" s="3" t="s">
        <v>81</v>
      </c>
      <c r="C29" s="1" t="s">
        <v>82</v>
      </c>
      <c r="D29" s="1">
        <v>4.9000000000000004</v>
      </c>
      <c r="E29" s="1">
        <v>55794</v>
      </c>
      <c r="F29" s="1" t="s">
        <v>44</v>
      </c>
      <c r="G29" s="2">
        <v>4.82</v>
      </c>
      <c r="H29" s="1">
        <v>24</v>
      </c>
      <c r="I29" s="6">
        <v>35323</v>
      </c>
      <c r="J29" s="1" t="s">
        <v>45</v>
      </c>
      <c r="K29" s="3" t="str" cm="1">
        <f t="array" ref="K29">_xlfn.IFS(G29&lt;10, "Budget", G29&lt;20, "Mid-range", G29&gt;=20, "Premium")</f>
        <v>Budget</v>
      </c>
    </row>
    <row r="30" spans="1:11" x14ac:dyDescent="0.3">
      <c r="A30" s="4">
        <v>29</v>
      </c>
      <c r="B30" s="3" t="s">
        <v>83</v>
      </c>
      <c r="C30" s="1" t="s">
        <v>84</v>
      </c>
      <c r="D30" s="1">
        <v>4.9000000000000004</v>
      </c>
      <c r="E30" s="1">
        <v>13217</v>
      </c>
      <c r="F30" s="1" t="s">
        <v>11</v>
      </c>
      <c r="G30" s="2">
        <v>16.78</v>
      </c>
      <c r="H30" s="1">
        <v>256</v>
      </c>
      <c r="I30" s="6" t="s">
        <v>85</v>
      </c>
      <c r="J30" s="1" t="s">
        <v>86</v>
      </c>
      <c r="K30" s="3" t="str" cm="1">
        <f t="array" ref="K30">_xlfn.IFS(G30&lt;10, "Budget", G30&lt;20, "Mid-range", G30&gt;=20, "Premium")</f>
        <v>Mid-range</v>
      </c>
    </row>
    <row r="31" spans="1:11" x14ac:dyDescent="0.3">
      <c r="A31" s="4">
        <v>30</v>
      </c>
      <c r="B31" s="3" t="s">
        <v>87</v>
      </c>
      <c r="C31" s="1" t="s">
        <v>88</v>
      </c>
      <c r="D31" s="1">
        <v>4.9000000000000004</v>
      </c>
      <c r="E31" s="1">
        <v>14622</v>
      </c>
      <c r="F31" s="1" t="s">
        <v>44</v>
      </c>
      <c r="G31" s="2">
        <v>5.37</v>
      </c>
      <c r="H31" s="1">
        <v>24</v>
      </c>
      <c r="I31" s="6">
        <v>43837</v>
      </c>
      <c r="J31" s="1" t="s">
        <v>45</v>
      </c>
      <c r="K31" s="3" t="str" cm="1">
        <f t="array" ref="K31">_xlfn.IFS(G31&lt;10, "Budget", G31&lt;20, "Mid-range", G31&gt;=20, "Premium")</f>
        <v>Budget</v>
      </c>
    </row>
    <row r="32" spans="1:11" x14ac:dyDescent="0.3">
      <c r="A32" s="4">
        <v>31</v>
      </c>
      <c r="B32" s="3" t="s">
        <v>89</v>
      </c>
      <c r="C32" s="1" t="s">
        <v>90</v>
      </c>
      <c r="D32" s="1">
        <v>4.5</v>
      </c>
      <c r="E32" s="1">
        <v>60311</v>
      </c>
      <c r="F32" s="1" t="s">
        <v>11</v>
      </c>
      <c r="G32" s="2">
        <v>10.83</v>
      </c>
      <c r="H32" s="1">
        <v>272</v>
      </c>
      <c r="I32" s="6" t="s">
        <v>91</v>
      </c>
      <c r="J32" s="1" t="s">
        <v>92</v>
      </c>
      <c r="K32" s="3" t="str" cm="1">
        <f t="array" ref="K32">_xlfn.IFS(G32&lt;10, "Budget", G32&lt;20, "Mid-range", G32&gt;=20, "Premium")</f>
        <v>Mid-range</v>
      </c>
    </row>
    <row r="33" spans="1:11" x14ac:dyDescent="0.3">
      <c r="A33" s="4">
        <v>32</v>
      </c>
      <c r="B33" s="3" t="s">
        <v>93</v>
      </c>
      <c r="C33" s="1" t="s">
        <v>94</v>
      </c>
      <c r="D33" s="1">
        <v>4.7</v>
      </c>
      <c r="E33" s="1">
        <v>106198</v>
      </c>
      <c r="F33" s="1" t="s">
        <v>21</v>
      </c>
      <c r="G33" s="2">
        <v>7.34</v>
      </c>
      <c r="H33" s="1">
        <v>336</v>
      </c>
      <c r="I33" s="6" t="s">
        <v>27</v>
      </c>
      <c r="J33" s="1" t="s">
        <v>95</v>
      </c>
      <c r="K33" s="3" t="str" cm="1">
        <f t="array" ref="K33">_xlfn.IFS(G33&lt;10, "Budget", G33&lt;20, "Mid-range", G33&gt;=20, "Premium")</f>
        <v>Budget</v>
      </c>
    </row>
    <row r="34" spans="1:11" x14ac:dyDescent="0.3">
      <c r="A34" s="4">
        <v>33</v>
      </c>
      <c r="B34" s="3" t="s">
        <v>96</v>
      </c>
      <c r="C34" s="1" t="s">
        <v>47</v>
      </c>
      <c r="D34" s="1">
        <v>4.4000000000000004</v>
      </c>
      <c r="E34" s="1">
        <v>39574</v>
      </c>
      <c r="F34" s="1" t="s">
        <v>11</v>
      </c>
      <c r="G34" s="2">
        <v>14.47</v>
      </c>
      <c r="H34" s="1">
        <v>352</v>
      </c>
      <c r="I34" s="6" t="s">
        <v>97</v>
      </c>
      <c r="J34" s="1" t="s">
        <v>19</v>
      </c>
      <c r="K34" s="3" t="str" cm="1">
        <f t="array" ref="K34">_xlfn.IFS(G34&lt;10, "Budget", G34&lt;20, "Mid-range", G34&gt;=20, "Premium")</f>
        <v>Mid-range</v>
      </c>
    </row>
    <row r="35" spans="1:11" x14ac:dyDescent="0.3">
      <c r="A35" s="4">
        <v>34</v>
      </c>
      <c r="B35" s="3" t="s">
        <v>98</v>
      </c>
      <c r="C35" s="1" t="s">
        <v>99</v>
      </c>
      <c r="D35" s="1">
        <v>4.9000000000000004</v>
      </c>
      <c r="E35" s="1">
        <v>53602</v>
      </c>
      <c r="F35" s="1" t="s">
        <v>11</v>
      </c>
      <c r="G35" s="2">
        <v>8.64</v>
      </c>
      <c r="H35" s="1">
        <v>56</v>
      </c>
      <c r="I35" s="6">
        <v>32895</v>
      </c>
      <c r="J35" s="1" t="s">
        <v>45</v>
      </c>
      <c r="K35" s="3" t="str" cm="1">
        <f t="array" ref="K35">_xlfn.IFS(G35&lt;10, "Budget", G35&lt;20, "Mid-range", G35&gt;=20, "Premium")</f>
        <v>Budget</v>
      </c>
    </row>
    <row r="36" spans="1:11" x14ac:dyDescent="0.3">
      <c r="A36" s="4">
        <v>35</v>
      </c>
      <c r="B36" s="3" t="s">
        <v>100</v>
      </c>
      <c r="C36" s="1" t="s">
        <v>101</v>
      </c>
      <c r="D36" s="1">
        <v>4.5999999999999996</v>
      </c>
      <c r="E36" s="1">
        <v>88321</v>
      </c>
      <c r="F36" s="1" t="s">
        <v>44</v>
      </c>
      <c r="G36" s="2">
        <v>14.99</v>
      </c>
      <c r="H36" s="1">
        <v>220</v>
      </c>
      <c r="I36" s="6">
        <v>43215</v>
      </c>
      <c r="J36" s="1" t="s">
        <v>45</v>
      </c>
      <c r="K36" s="3" t="str" cm="1">
        <f t="array" ref="K36">_xlfn.IFS(G36&lt;10, "Budget", G36&lt;20, "Mid-range", G36&gt;=20, "Premium")</f>
        <v>Mid-range</v>
      </c>
    </row>
    <row r="37" spans="1:11" x14ac:dyDescent="0.3">
      <c r="A37" s="4">
        <v>36</v>
      </c>
      <c r="B37" s="3" t="s">
        <v>102</v>
      </c>
      <c r="C37" s="1" t="s">
        <v>103</v>
      </c>
      <c r="D37" s="1">
        <v>4.2</v>
      </c>
      <c r="E37" s="1">
        <v>60754</v>
      </c>
      <c r="F37" s="1" t="s">
        <v>21</v>
      </c>
      <c r="G37" s="2">
        <v>6.88</v>
      </c>
      <c r="H37" s="1">
        <v>400</v>
      </c>
      <c r="I37" s="6">
        <v>43770</v>
      </c>
      <c r="J37" s="1" t="s">
        <v>15</v>
      </c>
      <c r="K37" s="3" t="str" cm="1">
        <f t="array" ref="K37">_xlfn.IFS(G37&lt;10, "Budget", G37&lt;20, "Mid-range", G37&gt;=20, "Premium")</f>
        <v>Budget</v>
      </c>
    </row>
    <row r="38" spans="1:11" x14ac:dyDescent="0.3">
      <c r="A38" s="4">
        <v>37</v>
      </c>
      <c r="B38" s="3" t="s">
        <v>104</v>
      </c>
      <c r="C38" s="1" t="s">
        <v>105</v>
      </c>
      <c r="D38" s="1">
        <v>4.9000000000000004</v>
      </c>
      <c r="E38" s="1">
        <v>31124</v>
      </c>
      <c r="F38" s="1" t="s">
        <v>44</v>
      </c>
      <c r="G38" s="2">
        <v>1.89</v>
      </c>
      <c r="H38" s="1">
        <v>34</v>
      </c>
      <c r="I38" s="6" t="s">
        <v>106</v>
      </c>
      <c r="J38" s="1" t="s">
        <v>56</v>
      </c>
      <c r="K38" s="3" t="str" cm="1">
        <f t="array" ref="K38">_xlfn.IFS(G38&lt;10, "Budget", G38&lt;20, "Mid-range", G38&gt;=20, "Premium")</f>
        <v>Budget</v>
      </c>
    </row>
    <row r="39" spans="1:11" x14ac:dyDescent="0.3">
      <c r="A39" s="4">
        <v>38</v>
      </c>
      <c r="B39" s="3" t="s">
        <v>107</v>
      </c>
      <c r="C39" s="1" t="s">
        <v>108</v>
      </c>
      <c r="D39" s="1">
        <v>4.4000000000000004</v>
      </c>
      <c r="E39" s="1">
        <v>129310</v>
      </c>
      <c r="F39" s="1" t="s">
        <v>11</v>
      </c>
      <c r="G39" s="2">
        <v>13.28</v>
      </c>
      <c r="H39" s="1">
        <v>416</v>
      </c>
      <c r="I39" s="6" t="s">
        <v>109</v>
      </c>
      <c r="J39" s="1" t="s">
        <v>15</v>
      </c>
      <c r="K39" s="3" t="str" cm="1">
        <f t="array" ref="K39">_xlfn.IFS(G39&lt;10, "Budget", G39&lt;20, "Mid-range", G39&gt;=20, "Premium")</f>
        <v>Mid-range</v>
      </c>
    </row>
    <row r="40" spans="1:11" x14ac:dyDescent="0.3">
      <c r="A40" s="4">
        <v>39</v>
      </c>
      <c r="B40" s="3" t="s">
        <v>110</v>
      </c>
      <c r="C40" s="1" t="s">
        <v>111</v>
      </c>
      <c r="D40" s="1">
        <v>4.8</v>
      </c>
      <c r="E40" s="1">
        <v>26464</v>
      </c>
      <c r="F40" s="1" t="s">
        <v>11</v>
      </c>
      <c r="G40" s="2">
        <v>11.99</v>
      </c>
      <c r="H40" s="1">
        <v>24</v>
      </c>
      <c r="I40" s="6">
        <v>41305</v>
      </c>
      <c r="J40" s="1" t="s">
        <v>45</v>
      </c>
      <c r="K40" s="3" t="str" cm="1">
        <f t="array" ref="K40">_xlfn.IFS(G40&lt;10, "Budget", G40&lt;20, "Mid-range", G40&gt;=20, "Premium")</f>
        <v>Mid-range</v>
      </c>
    </row>
    <row r="41" spans="1:11" x14ac:dyDescent="0.3">
      <c r="A41" s="4">
        <v>40</v>
      </c>
      <c r="B41" s="3" t="s">
        <v>112</v>
      </c>
      <c r="C41" s="1" t="s">
        <v>113</v>
      </c>
      <c r="D41" s="1">
        <v>4.9000000000000004</v>
      </c>
      <c r="E41" s="1">
        <v>32274</v>
      </c>
      <c r="F41" s="1" t="s">
        <v>11</v>
      </c>
      <c r="G41" s="2">
        <v>9.4499999999999993</v>
      </c>
      <c r="H41" s="1">
        <v>36</v>
      </c>
      <c r="I41" s="6">
        <v>42241</v>
      </c>
      <c r="J41" s="1" t="s">
        <v>45</v>
      </c>
      <c r="K41" s="3" t="str" cm="1">
        <f t="array" ref="K41">_xlfn.IFS(G41&lt;10, "Budget", G41&lt;20, "Mid-range", G41&gt;=20, "Premium")</f>
        <v>Budget</v>
      </c>
    </row>
    <row r="42" spans="1:11" x14ac:dyDescent="0.3">
      <c r="A42" s="4">
        <v>41</v>
      </c>
      <c r="B42" s="3" t="s">
        <v>114</v>
      </c>
      <c r="C42" s="1" t="s">
        <v>14</v>
      </c>
      <c r="D42" s="1">
        <v>4.5999999999999996</v>
      </c>
      <c r="E42" s="1">
        <v>5028</v>
      </c>
      <c r="F42" s="1" t="s">
        <v>11</v>
      </c>
      <c r="G42" s="2">
        <v>26.91</v>
      </c>
      <c r="H42" s="1">
        <v>528</v>
      </c>
      <c r="I42" s="6" t="s">
        <v>115</v>
      </c>
      <c r="J42" s="1" t="s">
        <v>15</v>
      </c>
      <c r="K42" s="3" t="str" cm="1">
        <f t="array" ref="K42">_xlfn.IFS(G42&lt;10, "Budget", G42&lt;20, "Mid-range", G42&gt;=20, "Premium")</f>
        <v>Premium</v>
      </c>
    </row>
    <row r="43" spans="1:11" x14ac:dyDescent="0.3">
      <c r="A43" s="4">
        <v>42</v>
      </c>
      <c r="B43" s="3" t="s">
        <v>116</v>
      </c>
      <c r="C43" s="1" t="s">
        <v>117</v>
      </c>
      <c r="D43" s="1">
        <v>4.4000000000000004</v>
      </c>
      <c r="E43" s="1">
        <v>398561</v>
      </c>
      <c r="F43" s="1" t="s">
        <v>21</v>
      </c>
      <c r="G43" s="2">
        <v>2.39</v>
      </c>
      <c r="H43" s="1">
        <v>368</v>
      </c>
      <c r="I43" s="6">
        <v>44320</v>
      </c>
      <c r="J43" s="1" t="s">
        <v>41</v>
      </c>
      <c r="K43" s="3" t="str" cm="1">
        <f t="array" ref="K43">_xlfn.IFS(G43&lt;10, "Budget", G43&lt;20, "Mid-range", G43&gt;=20, "Premium")</f>
        <v>Budget</v>
      </c>
    </row>
    <row r="44" spans="1:11" x14ac:dyDescent="0.3">
      <c r="A44" s="4">
        <v>43</v>
      </c>
      <c r="B44" s="3" t="s">
        <v>118</v>
      </c>
      <c r="C44" s="1" t="s">
        <v>119</v>
      </c>
      <c r="D44" s="1">
        <v>4.5999999999999996</v>
      </c>
      <c r="E44" s="1">
        <v>129211</v>
      </c>
      <c r="F44" s="1" t="s">
        <v>44</v>
      </c>
      <c r="G44" s="2">
        <v>14.53</v>
      </c>
      <c r="H44" s="1">
        <v>368</v>
      </c>
      <c r="I44" s="6">
        <v>44684</v>
      </c>
      <c r="J44" s="1" t="s">
        <v>41</v>
      </c>
      <c r="K44" s="3" t="str" cm="1">
        <f t="array" ref="K44">_xlfn.IFS(G44&lt;10, "Budget", G44&lt;20, "Mid-range", G44&gt;=20, "Premium")</f>
        <v>Mid-range</v>
      </c>
    </row>
    <row r="45" spans="1:11" x14ac:dyDescent="0.3">
      <c r="A45" s="4">
        <v>44</v>
      </c>
      <c r="B45" s="3" t="s">
        <v>120</v>
      </c>
      <c r="C45" s="1" t="s">
        <v>121</v>
      </c>
      <c r="D45" s="1">
        <v>4.7</v>
      </c>
      <c r="E45" s="1">
        <v>68563</v>
      </c>
      <c r="F45" s="1" t="s">
        <v>21</v>
      </c>
      <c r="G45" s="2">
        <v>14.18</v>
      </c>
      <c r="H45" s="1">
        <v>256</v>
      </c>
      <c r="I45" s="6">
        <v>44082</v>
      </c>
      <c r="J45" s="1" t="s">
        <v>95</v>
      </c>
      <c r="K45" s="3" t="str" cm="1">
        <f t="array" ref="K45">_xlfn.IFS(G45&lt;10, "Budget", G45&lt;20, "Mid-range", G45&gt;=20, "Premium")</f>
        <v>Mid-range</v>
      </c>
    </row>
    <row r="46" spans="1:11" x14ac:dyDescent="0.3">
      <c r="A46" s="4">
        <v>45</v>
      </c>
      <c r="B46" s="3" t="s">
        <v>122</v>
      </c>
      <c r="C46" s="1" t="s">
        <v>123</v>
      </c>
      <c r="D46" s="1">
        <v>4.7</v>
      </c>
      <c r="E46" s="1">
        <v>6331</v>
      </c>
      <c r="F46" s="1" t="s">
        <v>21</v>
      </c>
      <c r="G46" s="2">
        <v>23.66</v>
      </c>
      <c r="H46" s="1">
        <v>138</v>
      </c>
      <c r="I46" s="6" t="s">
        <v>124</v>
      </c>
      <c r="J46" s="1" t="s">
        <v>33</v>
      </c>
      <c r="K46" s="3" t="str" cm="1">
        <f t="array" ref="K46">_xlfn.IFS(G46&lt;10, "Budget", G46&lt;20, "Mid-range", G46&gt;=20, "Premium")</f>
        <v>Premium</v>
      </c>
    </row>
    <row r="47" spans="1:11" x14ac:dyDescent="0.3">
      <c r="A47" s="4">
        <v>46</v>
      </c>
      <c r="B47" s="3" t="s">
        <v>125</v>
      </c>
      <c r="C47" s="1" t="s">
        <v>126</v>
      </c>
      <c r="D47" s="1">
        <v>4.8</v>
      </c>
      <c r="E47" s="1">
        <v>17084</v>
      </c>
      <c r="F47" s="1" t="s">
        <v>11</v>
      </c>
      <c r="G47" s="2">
        <v>14.78</v>
      </c>
      <c r="H47" s="1">
        <v>384</v>
      </c>
      <c r="I47" s="6" t="s">
        <v>127</v>
      </c>
      <c r="J47" s="1" t="s">
        <v>19</v>
      </c>
      <c r="K47" s="3" t="str" cm="1">
        <f t="array" ref="K47">_xlfn.IFS(G47&lt;10, "Budget", G47&lt;20, "Mid-range", G47&gt;=20, "Premium")</f>
        <v>Mid-range</v>
      </c>
    </row>
    <row r="48" spans="1:11" x14ac:dyDescent="0.3">
      <c r="A48" s="4">
        <v>47</v>
      </c>
      <c r="B48" s="3" t="s">
        <v>128</v>
      </c>
      <c r="C48" s="1" t="s">
        <v>129</v>
      </c>
      <c r="D48" s="1">
        <v>4.8</v>
      </c>
      <c r="E48" s="1">
        <v>9137</v>
      </c>
      <c r="F48" s="1" t="s">
        <v>21</v>
      </c>
      <c r="G48" s="2">
        <v>2.7</v>
      </c>
      <c r="H48" s="1">
        <v>32</v>
      </c>
      <c r="I48" s="6" t="s">
        <v>130</v>
      </c>
      <c r="J48" s="1" t="s">
        <v>56</v>
      </c>
      <c r="K48" s="3" t="str" cm="1">
        <f t="array" ref="K48">_xlfn.IFS(G48&lt;10, "Budget", G48&lt;20, "Mid-range", G48&gt;=20, "Premium")</f>
        <v>Budget</v>
      </c>
    </row>
    <row r="49" spans="1:11" x14ac:dyDescent="0.3">
      <c r="A49" s="4">
        <v>48</v>
      </c>
      <c r="B49" s="3" t="s">
        <v>131</v>
      </c>
      <c r="C49" s="1" t="s">
        <v>132</v>
      </c>
      <c r="D49" s="1">
        <v>4.2</v>
      </c>
      <c r="E49" s="1">
        <v>142671</v>
      </c>
      <c r="F49" s="1" t="s">
        <v>21</v>
      </c>
      <c r="G49" s="2">
        <v>9.99</v>
      </c>
      <c r="H49" s="1">
        <v>352</v>
      </c>
      <c r="I49" s="6" t="s">
        <v>133</v>
      </c>
      <c r="J49" s="1" t="s">
        <v>15</v>
      </c>
      <c r="K49" s="3" t="str" cm="1">
        <f t="array" ref="K49">_xlfn.IFS(G49&lt;10, "Budget", G49&lt;20, "Mid-range", G49&gt;=20, "Premium")</f>
        <v>Budget</v>
      </c>
    </row>
    <row r="50" spans="1:11" x14ac:dyDescent="0.3">
      <c r="A50" s="4">
        <v>49</v>
      </c>
      <c r="B50" s="3" t="s">
        <v>134</v>
      </c>
      <c r="C50" s="1" t="s">
        <v>135</v>
      </c>
      <c r="D50" s="1">
        <v>4.3</v>
      </c>
      <c r="E50" s="1">
        <v>113454</v>
      </c>
      <c r="F50" s="1" t="s">
        <v>21</v>
      </c>
      <c r="G50" s="2">
        <v>9.4</v>
      </c>
      <c r="H50" s="1">
        <v>448</v>
      </c>
      <c r="I50" s="6" t="s">
        <v>136</v>
      </c>
      <c r="J50" s="1" t="s">
        <v>15</v>
      </c>
      <c r="K50" s="3" t="str" cm="1">
        <f t="array" ref="K50">_xlfn.IFS(G50&lt;10, "Budget", G50&lt;20, "Mid-range", G50&gt;=20, "Premium")</f>
        <v>Budget</v>
      </c>
    </row>
    <row r="51" spans="1:11" x14ac:dyDescent="0.3">
      <c r="A51" s="4">
        <v>50</v>
      </c>
      <c r="B51" s="3" t="s">
        <v>137</v>
      </c>
      <c r="C51" s="1" t="s">
        <v>76</v>
      </c>
      <c r="D51" s="1">
        <v>4.4000000000000004</v>
      </c>
      <c r="E51" s="1">
        <v>119095</v>
      </c>
      <c r="F51" s="1" t="s">
        <v>21</v>
      </c>
      <c r="G51" s="2">
        <v>9.9499999999999993</v>
      </c>
      <c r="H51" s="1">
        <v>592</v>
      </c>
      <c r="I51" s="6" t="s">
        <v>138</v>
      </c>
      <c r="J51" s="1" t="s">
        <v>15</v>
      </c>
      <c r="K51" s="3" t="str" cm="1">
        <f t="array" ref="K51">_xlfn.IFS(G51&lt;10, "Budget", G51&lt;20, "Mid-range", G51&gt;=20, "Premium")</f>
        <v>Budget</v>
      </c>
    </row>
    <row r="52" spans="1:11" x14ac:dyDescent="0.3">
      <c r="A52" s="4">
        <v>51</v>
      </c>
      <c r="B52" s="3" t="s">
        <v>139</v>
      </c>
      <c r="C52" s="1" t="s">
        <v>35</v>
      </c>
      <c r="D52" s="1">
        <v>4.7</v>
      </c>
      <c r="E52" s="1">
        <v>347742</v>
      </c>
      <c r="F52" s="1" t="s">
        <v>21</v>
      </c>
      <c r="G52" s="2">
        <v>9.0299999999999994</v>
      </c>
      <c r="H52" s="1">
        <v>335</v>
      </c>
      <c r="I52" s="6" t="s">
        <v>140</v>
      </c>
      <c r="J52" s="1" t="s">
        <v>15</v>
      </c>
      <c r="K52" s="3" t="str" cm="1">
        <f t="array" ref="K52">_xlfn.IFS(G52&lt;10, "Budget", G52&lt;20, "Mid-range", G52&gt;=20, "Premium")</f>
        <v>Budget</v>
      </c>
    </row>
    <row r="53" spans="1:11" x14ac:dyDescent="0.3">
      <c r="A53" s="4">
        <v>52</v>
      </c>
      <c r="B53" s="3" t="s">
        <v>141</v>
      </c>
      <c r="C53" s="1" t="s">
        <v>63</v>
      </c>
      <c r="D53" s="1">
        <v>4.8</v>
      </c>
      <c r="E53" s="1">
        <v>287325</v>
      </c>
      <c r="F53" s="1" t="s">
        <v>21</v>
      </c>
      <c r="G53" s="2">
        <v>12.16</v>
      </c>
      <c r="H53" s="1">
        <v>656</v>
      </c>
      <c r="I53" s="6">
        <v>43984</v>
      </c>
      <c r="J53" s="1" t="s">
        <v>15</v>
      </c>
      <c r="K53" s="3" t="str" cm="1">
        <f t="array" ref="K53">_xlfn.IFS(G53&lt;10, "Budget", G53&lt;20, "Mid-range", G53&gt;=20, "Premium")</f>
        <v>Mid-range</v>
      </c>
    </row>
    <row r="54" spans="1:11" x14ac:dyDescent="0.3">
      <c r="A54" s="4">
        <v>53</v>
      </c>
      <c r="B54" s="3" t="s">
        <v>142</v>
      </c>
      <c r="C54" s="1" t="s">
        <v>143</v>
      </c>
      <c r="D54" s="1">
        <v>4.8</v>
      </c>
      <c r="E54" s="1">
        <v>7876</v>
      </c>
      <c r="F54" s="1" t="s">
        <v>11</v>
      </c>
      <c r="G54" s="2">
        <v>20.190000000000001</v>
      </c>
      <c r="H54" s="1">
        <v>496</v>
      </c>
      <c r="I54" s="6" t="s">
        <v>144</v>
      </c>
      <c r="J54" s="1" t="s">
        <v>145</v>
      </c>
      <c r="K54" s="3" t="str" cm="1">
        <f t="array" ref="K54">_xlfn.IFS(G54&lt;10, "Budget", G54&lt;20, "Mid-range", G54&gt;=20, "Premium")</f>
        <v>Premium</v>
      </c>
    </row>
    <row r="55" spans="1:11" x14ac:dyDescent="0.3">
      <c r="A55" s="4">
        <v>54</v>
      </c>
      <c r="B55" s="3" t="s">
        <v>146</v>
      </c>
      <c r="C55" s="1" t="s">
        <v>147</v>
      </c>
      <c r="D55" s="1">
        <v>4.7</v>
      </c>
      <c r="E55" s="1">
        <v>22689</v>
      </c>
      <c r="F55" s="1" t="s">
        <v>11</v>
      </c>
      <c r="G55" s="2">
        <v>19.93</v>
      </c>
      <c r="H55" s="1">
        <v>688</v>
      </c>
      <c r="I55" s="6" t="s">
        <v>148</v>
      </c>
      <c r="J55" s="1" t="s">
        <v>19</v>
      </c>
      <c r="K55" s="3" t="str" cm="1">
        <f t="array" ref="K55">_xlfn.IFS(G55&lt;10, "Budget", G55&lt;20, "Mid-range", G55&gt;=20, "Premium")</f>
        <v>Mid-range</v>
      </c>
    </row>
    <row r="56" spans="1:11" x14ac:dyDescent="0.3">
      <c r="A56" s="4">
        <v>55</v>
      </c>
      <c r="B56" s="3" t="s">
        <v>149</v>
      </c>
      <c r="C56" s="1" t="s">
        <v>150</v>
      </c>
      <c r="D56" s="1">
        <v>4.5999999999999996</v>
      </c>
      <c r="E56" s="1">
        <v>23034</v>
      </c>
      <c r="F56" s="1" t="s">
        <v>21</v>
      </c>
      <c r="G56" s="2">
        <v>10.17</v>
      </c>
      <c r="H56" s="1">
        <v>352</v>
      </c>
      <c r="I56" s="6" t="s">
        <v>151</v>
      </c>
      <c r="J56" s="1" t="s">
        <v>95</v>
      </c>
      <c r="K56" s="3" t="str" cm="1">
        <f t="array" ref="K56">_xlfn.IFS(G56&lt;10, "Budget", G56&lt;20, "Mid-range", G56&gt;=20, "Premium")</f>
        <v>Mid-range</v>
      </c>
    </row>
    <row r="57" spans="1:11" x14ac:dyDescent="0.3">
      <c r="A57" s="4">
        <v>56</v>
      </c>
      <c r="B57" s="3" t="s">
        <v>152</v>
      </c>
      <c r="C57" s="1" t="s">
        <v>153</v>
      </c>
      <c r="D57" s="1">
        <v>4.4000000000000004</v>
      </c>
      <c r="E57" s="1">
        <v>163368</v>
      </c>
      <c r="F57" s="1" t="s">
        <v>21</v>
      </c>
      <c r="G57" s="2">
        <v>17.18</v>
      </c>
      <c r="H57" s="1">
        <v>627</v>
      </c>
      <c r="I57" s="6">
        <v>44421</v>
      </c>
      <c r="J57" s="1" t="s">
        <v>41</v>
      </c>
      <c r="K57" s="3" t="str" cm="1">
        <f t="array" ref="K57">_xlfn.IFS(G57&lt;10, "Budget", G57&lt;20, "Mid-range", G57&gt;=20, "Premium")</f>
        <v>Mid-range</v>
      </c>
    </row>
    <row r="58" spans="1:11" x14ac:dyDescent="0.3">
      <c r="A58" s="4">
        <v>57</v>
      </c>
      <c r="B58" s="3" t="s">
        <v>154</v>
      </c>
      <c r="C58" s="1" t="s">
        <v>155</v>
      </c>
      <c r="D58" s="1">
        <v>4.8</v>
      </c>
      <c r="E58" s="1">
        <v>18031</v>
      </c>
      <c r="F58" s="1" t="s">
        <v>11</v>
      </c>
      <c r="G58" s="2">
        <v>5.6</v>
      </c>
      <c r="H58" s="1">
        <v>40</v>
      </c>
      <c r="I58" s="6" t="s">
        <v>156</v>
      </c>
      <c r="J58" s="1" t="s">
        <v>45</v>
      </c>
      <c r="K58" s="3" t="str" cm="1">
        <f t="array" ref="K58">_xlfn.IFS(G58&lt;10, "Budget", G58&lt;20, "Mid-range", G58&gt;=20, "Premium")</f>
        <v>Budget</v>
      </c>
    </row>
    <row r="59" spans="1:11" x14ac:dyDescent="0.3">
      <c r="A59" s="4">
        <v>58</v>
      </c>
      <c r="B59" s="3" t="s">
        <v>157</v>
      </c>
      <c r="C59" s="1" t="s">
        <v>35</v>
      </c>
      <c r="D59" s="1">
        <v>4.5999999999999996</v>
      </c>
      <c r="E59" s="1">
        <v>165631</v>
      </c>
      <c r="F59" s="1" t="s">
        <v>21</v>
      </c>
      <c r="G59" s="2">
        <v>8.91</v>
      </c>
      <c r="H59" s="1">
        <v>336</v>
      </c>
      <c r="I59" s="6" t="s">
        <v>158</v>
      </c>
      <c r="J59" s="1" t="s">
        <v>15</v>
      </c>
      <c r="K59" s="3" t="str" cm="1">
        <f t="array" ref="K59">_xlfn.IFS(G59&lt;10, "Budget", G59&lt;20, "Mid-range", G59&gt;=20, "Premium")</f>
        <v>Budget</v>
      </c>
    </row>
    <row r="60" spans="1:11" x14ac:dyDescent="0.3">
      <c r="A60" s="4">
        <v>59</v>
      </c>
      <c r="B60" s="3" t="s">
        <v>159</v>
      </c>
      <c r="C60" s="1" t="s">
        <v>160</v>
      </c>
      <c r="D60" s="1">
        <v>4.8</v>
      </c>
      <c r="E60" s="1">
        <v>75734</v>
      </c>
      <c r="F60" s="1" t="s">
        <v>44</v>
      </c>
      <c r="G60" s="2">
        <v>4.2300000000000004</v>
      </c>
      <c r="H60" s="1">
        <v>34</v>
      </c>
      <c r="I60" s="6" t="s">
        <v>161</v>
      </c>
      <c r="J60" s="1" t="s">
        <v>45</v>
      </c>
      <c r="K60" s="3" t="str" cm="1">
        <f t="array" ref="K60">_xlfn.IFS(G60&lt;10, "Budget", G60&lt;20, "Mid-range", G60&gt;=20, "Premium")</f>
        <v>Budget</v>
      </c>
    </row>
    <row r="61" spans="1:11" x14ac:dyDescent="0.3">
      <c r="A61" s="4">
        <v>60</v>
      </c>
      <c r="B61" s="3" t="s">
        <v>162</v>
      </c>
      <c r="C61" s="1" t="s">
        <v>163</v>
      </c>
      <c r="D61" s="1">
        <v>4.2</v>
      </c>
      <c r="E61" s="1">
        <v>107168</v>
      </c>
      <c r="F61" s="1" t="s">
        <v>11</v>
      </c>
      <c r="G61" s="2">
        <v>12.29</v>
      </c>
      <c r="H61" s="1">
        <v>400</v>
      </c>
      <c r="I61" s="6" t="s">
        <v>164</v>
      </c>
      <c r="J61" s="1" t="s">
        <v>15</v>
      </c>
      <c r="K61" s="3" t="str" cm="1">
        <f t="array" ref="K61">_xlfn.IFS(G61&lt;10, "Budget", G61&lt;20, "Mid-range", G61&gt;=20, "Premium")</f>
        <v>Mid-range</v>
      </c>
    </row>
    <row r="62" spans="1:11" x14ac:dyDescent="0.3">
      <c r="A62" s="4">
        <v>61</v>
      </c>
      <c r="B62" s="3" t="s">
        <v>165</v>
      </c>
      <c r="C62" s="1" t="s">
        <v>132</v>
      </c>
      <c r="D62" s="1">
        <v>4.4000000000000004</v>
      </c>
      <c r="E62" s="1">
        <v>108327</v>
      </c>
      <c r="F62" s="1" t="s">
        <v>21</v>
      </c>
      <c r="G62" s="2">
        <v>9.74</v>
      </c>
      <c r="H62" s="1">
        <v>448</v>
      </c>
      <c r="I62" s="6" t="s">
        <v>133</v>
      </c>
      <c r="J62" s="1" t="s">
        <v>166</v>
      </c>
      <c r="K62" s="3" t="str" cm="1">
        <f t="array" ref="K62">_xlfn.IFS(G62&lt;10, "Budget", G62&lt;20, "Mid-range", G62&gt;=20, "Premium")</f>
        <v>Budget</v>
      </c>
    </row>
    <row r="63" spans="1:11" x14ac:dyDescent="0.3">
      <c r="A63" s="4">
        <v>62</v>
      </c>
      <c r="B63" s="3" t="s">
        <v>167</v>
      </c>
      <c r="C63" s="1" t="s">
        <v>168</v>
      </c>
      <c r="D63" s="1">
        <v>4.9000000000000004</v>
      </c>
      <c r="E63" s="1">
        <v>41314</v>
      </c>
      <c r="F63" s="1" t="s">
        <v>44</v>
      </c>
      <c r="G63" s="2">
        <v>4.17</v>
      </c>
      <c r="H63" s="1">
        <v>36</v>
      </c>
      <c r="I63" s="6">
        <v>40909</v>
      </c>
      <c r="J63" s="1" t="s">
        <v>45</v>
      </c>
      <c r="K63" s="3" t="str" cm="1">
        <f t="array" ref="K63">_xlfn.IFS(G63&lt;10, "Budget", G63&lt;20, "Mid-range", G63&gt;=20, "Premium")</f>
        <v>Budget</v>
      </c>
    </row>
    <row r="64" spans="1:11" x14ac:dyDescent="0.3">
      <c r="A64" s="4">
        <v>63</v>
      </c>
      <c r="B64" s="3" t="s">
        <v>169</v>
      </c>
      <c r="C64" s="1" t="s">
        <v>170</v>
      </c>
      <c r="D64" s="1">
        <v>4.4000000000000004</v>
      </c>
      <c r="E64" s="1">
        <v>109707</v>
      </c>
      <c r="F64" s="1" t="s">
        <v>11</v>
      </c>
      <c r="G64" s="2">
        <v>13.97</v>
      </c>
      <c r="H64" s="1">
        <v>400</v>
      </c>
      <c r="I64" s="6" t="s">
        <v>171</v>
      </c>
      <c r="J64" s="1" t="s">
        <v>15</v>
      </c>
      <c r="K64" s="3" t="str" cm="1">
        <f t="array" ref="K64">_xlfn.IFS(G64&lt;10, "Budget", G64&lt;20, "Mid-range", G64&gt;=20, "Premium")</f>
        <v>Mid-range</v>
      </c>
    </row>
    <row r="65" spans="1:11" x14ac:dyDescent="0.3">
      <c r="A65" s="4">
        <v>64</v>
      </c>
      <c r="B65" s="3" t="s">
        <v>172</v>
      </c>
      <c r="C65" s="1" t="s">
        <v>173</v>
      </c>
      <c r="D65" s="1">
        <v>4.8</v>
      </c>
      <c r="E65" s="1">
        <v>5751</v>
      </c>
      <c r="F65" s="1" t="s">
        <v>11</v>
      </c>
      <c r="G65" s="2">
        <v>13.47</v>
      </c>
      <c r="H65" s="1">
        <v>400</v>
      </c>
      <c r="I65" s="6" t="s">
        <v>174</v>
      </c>
      <c r="J65" s="1" t="s">
        <v>30</v>
      </c>
      <c r="K65" s="3" t="str" cm="1">
        <f t="array" ref="K65">_xlfn.IFS(G65&lt;10, "Budget", G65&lt;20, "Mid-range", G65&gt;=20, "Premium")</f>
        <v>Mid-range</v>
      </c>
    </row>
    <row r="66" spans="1:11" x14ac:dyDescent="0.3">
      <c r="A66" s="4">
        <v>65</v>
      </c>
      <c r="B66" s="3" t="s">
        <v>175</v>
      </c>
      <c r="C66" s="1" t="s">
        <v>176</v>
      </c>
      <c r="D66" s="1">
        <v>4.5</v>
      </c>
      <c r="E66" s="1">
        <v>86622</v>
      </c>
      <c r="F66" s="1" t="s">
        <v>21</v>
      </c>
      <c r="G66" s="2">
        <v>9.25</v>
      </c>
      <c r="H66" s="1">
        <v>832</v>
      </c>
      <c r="I66" s="6" t="s">
        <v>177</v>
      </c>
      <c r="J66" s="1" t="s">
        <v>15</v>
      </c>
      <c r="K66" s="3" t="str" cm="1">
        <f t="array" ref="K66">_xlfn.IFS(G66&lt;10, "Budget", G66&lt;20, "Mid-range", G66&gt;=20, "Premium")</f>
        <v>Budget</v>
      </c>
    </row>
    <row r="67" spans="1:11" x14ac:dyDescent="0.3">
      <c r="A67" s="4">
        <v>66</v>
      </c>
      <c r="B67" s="3" t="s">
        <v>178</v>
      </c>
      <c r="C67" s="1" t="s">
        <v>179</v>
      </c>
      <c r="D67" s="1">
        <v>4.8</v>
      </c>
      <c r="E67" s="1">
        <v>18227</v>
      </c>
      <c r="F67" s="1" t="s">
        <v>21</v>
      </c>
      <c r="G67" s="2">
        <v>8.18</v>
      </c>
      <c r="H67" s="1">
        <v>272</v>
      </c>
      <c r="I67" s="6" t="s">
        <v>180</v>
      </c>
      <c r="J67" s="1" t="s">
        <v>30</v>
      </c>
      <c r="K67" s="3" t="str" cm="1">
        <f t="array" ref="K67">_xlfn.IFS(G67&lt;10, "Budget", G67&lt;20, "Mid-range", G67&gt;=20, "Premium")</f>
        <v>Budget</v>
      </c>
    </row>
    <row r="68" spans="1:11" x14ac:dyDescent="0.3">
      <c r="A68" s="4">
        <v>67</v>
      </c>
      <c r="B68" s="3" t="s">
        <v>181</v>
      </c>
      <c r="C68" s="1" t="s">
        <v>182</v>
      </c>
      <c r="D68" s="1">
        <v>4.5</v>
      </c>
      <c r="E68" s="1">
        <v>43046</v>
      </c>
      <c r="F68" s="1" t="s">
        <v>11</v>
      </c>
      <c r="G68" s="2">
        <v>13.98</v>
      </c>
      <c r="H68" s="1">
        <v>464</v>
      </c>
      <c r="I68" s="6" t="s">
        <v>183</v>
      </c>
      <c r="J68" s="1" t="s">
        <v>41</v>
      </c>
      <c r="K68" s="3" t="str" cm="1">
        <f t="array" ref="K68">_xlfn.IFS(G68&lt;10, "Budget", G68&lt;20, "Mid-range", G68&gt;=20, "Premium")</f>
        <v>Mid-range</v>
      </c>
    </row>
    <row r="69" spans="1:11" x14ac:dyDescent="0.3">
      <c r="A69" s="4">
        <v>68</v>
      </c>
      <c r="B69" s="3" t="s">
        <v>184</v>
      </c>
      <c r="C69" s="1" t="s">
        <v>185</v>
      </c>
      <c r="D69" s="1">
        <v>4.4000000000000004</v>
      </c>
      <c r="E69" s="1">
        <v>73210</v>
      </c>
      <c r="F69" s="1" t="s">
        <v>11</v>
      </c>
      <c r="G69" s="2">
        <v>15.05</v>
      </c>
      <c r="H69" s="1">
        <v>400</v>
      </c>
      <c r="I69" s="6">
        <v>45146</v>
      </c>
      <c r="J69" s="1" t="s">
        <v>15</v>
      </c>
      <c r="K69" s="3" t="str" cm="1">
        <f t="array" ref="K69">_xlfn.IFS(G69&lt;10, "Budget", G69&lt;20, "Mid-range", G69&gt;=20, "Premium")</f>
        <v>Mid-range</v>
      </c>
    </row>
    <row r="70" spans="1:11" x14ac:dyDescent="0.3">
      <c r="A70" s="4">
        <v>69</v>
      </c>
      <c r="B70" s="3" t="s">
        <v>186</v>
      </c>
      <c r="C70" s="1" t="s">
        <v>187</v>
      </c>
      <c r="D70" s="1">
        <v>4.8</v>
      </c>
      <c r="E70" s="1">
        <v>32845</v>
      </c>
      <c r="F70" s="1" t="s">
        <v>188</v>
      </c>
      <c r="G70" s="2">
        <v>3.07</v>
      </c>
      <c r="I70" s="6">
        <v>43160</v>
      </c>
      <c r="J70" s="1" t="s">
        <v>189</v>
      </c>
      <c r="K70" s="3" t="str" cm="1">
        <f t="array" ref="K70">_xlfn.IFS(G70&lt;10, "Budget", G70&lt;20, "Mid-range", G70&gt;=20, "Premium")</f>
        <v>Budget</v>
      </c>
    </row>
    <row r="71" spans="1:11" x14ac:dyDescent="0.3">
      <c r="A71" s="4">
        <v>70</v>
      </c>
      <c r="B71" s="3" t="s">
        <v>190</v>
      </c>
      <c r="C71" s="1" t="s">
        <v>191</v>
      </c>
      <c r="D71" s="1">
        <v>4.8</v>
      </c>
      <c r="E71" s="1">
        <v>29360</v>
      </c>
      <c r="F71" s="1" t="s">
        <v>21</v>
      </c>
      <c r="G71" s="2">
        <v>8.24</v>
      </c>
      <c r="H71" s="1">
        <v>320</v>
      </c>
      <c r="I71" s="6" t="s">
        <v>192</v>
      </c>
      <c r="J71" s="1" t="s">
        <v>95</v>
      </c>
      <c r="K71" s="3" t="str" cm="1">
        <f t="array" ref="K71">_xlfn.IFS(G71&lt;10, "Budget", G71&lt;20, "Mid-range", G71&gt;=20, "Premium")</f>
        <v>Budget</v>
      </c>
    </row>
    <row r="72" spans="1:11" x14ac:dyDescent="0.3">
      <c r="A72" s="4">
        <v>71</v>
      </c>
      <c r="B72" s="3" t="s">
        <v>193</v>
      </c>
      <c r="C72" s="1" t="s">
        <v>51</v>
      </c>
      <c r="D72" s="1">
        <v>4.4000000000000004</v>
      </c>
      <c r="E72" s="1">
        <v>95715</v>
      </c>
      <c r="F72" s="1" t="s">
        <v>21</v>
      </c>
      <c r="G72" s="2">
        <v>9.33</v>
      </c>
      <c r="H72" s="1">
        <v>400</v>
      </c>
      <c r="I72" s="6" t="s">
        <v>194</v>
      </c>
      <c r="J72" s="1" t="s">
        <v>15</v>
      </c>
      <c r="K72" s="3" t="str" cm="1">
        <f t="array" ref="K72">_xlfn.IFS(G72&lt;10, "Budget", G72&lt;20, "Mid-range", G72&gt;=20, "Premium")</f>
        <v>Budget</v>
      </c>
    </row>
    <row r="73" spans="1:11" x14ac:dyDescent="0.3">
      <c r="A73" s="4">
        <v>72</v>
      </c>
      <c r="B73" s="3" t="s">
        <v>195</v>
      </c>
      <c r="C73" s="1" t="s">
        <v>63</v>
      </c>
      <c r="D73" s="1">
        <v>4.8</v>
      </c>
      <c r="E73" s="1">
        <v>52380</v>
      </c>
      <c r="F73" s="1" t="s">
        <v>21</v>
      </c>
      <c r="G73" s="2">
        <v>47.9</v>
      </c>
      <c r="H73" s="1">
        <v>2896</v>
      </c>
      <c r="I73" s="6">
        <v>44866</v>
      </c>
      <c r="J73" s="1" t="s">
        <v>15</v>
      </c>
      <c r="K73" s="3" t="str" cm="1">
        <f t="array" ref="K73">_xlfn.IFS(G73&lt;10, "Budget", G73&lt;20, "Mid-range", G73&gt;=20, "Premium")</f>
        <v>Premium</v>
      </c>
    </row>
    <row r="74" spans="1:11" x14ac:dyDescent="0.3">
      <c r="A74" s="4">
        <v>73</v>
      </c>
      <c r="B74" s="3" t="s">
        <v>196</v>
      </c>
      <c r="C74" s="1" t="s">
        <v>197</v>
      </c>
      <c r="D74" s="1">
        <v>4.7</v>
      </c>
      <c r="E74" s="1">
        <v>109703</v>
      </c>
      <c r="F74" s="1" t="s">
        <v>21</v>
      </c>
      <c r="G74" s="2">
        <v>15.44</v>
      </c>
      <c r="H74" s="1">
        <v>320</v>
      </c>
      <c r="I74" s="6">
        <v>36069</v>
      </c>
      <c r="J74" s="1" t="s">
        <v>12</v>
      </c>
      <c r="K74" s="3" t="str" cm="1">
        <f t="array" ref="K74">_xlfn.IFS(G74&lt;10, "Budget", G74&lt;20, "Mid-range", G74&gt;=20, "Premium")</f>
        <v>Mid-range</v>
      </c>
    </row>
    <row r="75" spans="1:11" x14ac:dyDescent="0.3">
      <c r="A75" s="4">
        <v>74</v>
      </c>
      <c r="B75" s="3" t="s">
        <v>198</v>
      </c>
      <c r="C75" s="1" t="s">
        <v>199</v>
      </c>
      <c r="D75" s="1">
        <v>4.8</v>
      </c>
      <c r="E75" s="1">
        <v>25279</v>
      </c>
      <c r="F75" s="1" t="s">
        <v>11</v>
      </c>
      <c r="G75" s="2">
        <v>9.4</v>
      </c>
      <c r="H75" s="1">
        <v>208</v>
      </c>
      <c r="I75" s="6">
        <v>43389</v>
      </c>
      <c r="J75" s="1" t="s">
        <v>86</v>
      </c>
      <c r="K75" s="3" t="str" cm="1">
        <f t="array" ref="K75">_xlfn.IFS(G75&lt;10, "Budget", G75&lt;20, "Mid-range", G75&gt;=20, "Premium")</f>
        <v>Budget</v>
      </c>
    </row>
    <row r="76" spans="1:11" x14ac:dyDescent="0.3">
      <c r="A76" s="4">
        <v>75</v>
      </c>
      <c r="B76" s="3" t="s">
        <v>200</v>
      </c>
      <c r="C76" s="1" t="s">
        <v>201</v>
      </c>
      <c r="D76" s="1">
        <v>4.8</v>
      </c>
      <c r="E76" s="1">
        <v>127734</v>
      </c>
      <c r="F76" s="1" t="s">
        <v>11</v>
      </c>
      <c r="G76" s="2">
        <v>17.62</v>
      </c>
      <c r="H76" s="1">
        <v>128</v>
      </c>
      <c r="I76" s="6" t="s">
        <v>202</v>
      </c>
      <c r="J76" s="1" t="s">
        <v>74</v>
      </c>
      <c r="K76" s="3" t="str" cm="1">
        <f t="array" ref="K76">_xlfn.IFS(G76&lt;10, "Budget", G76&lt;20, "Mid-range", G76&gt;=20, "Premium")</f>
        <v>Mid-range</v>
      </c>
    </row>
    <row r="77" spans="1:11" x14ac:dyDescent="0.3">
      <c r="A77" s="4">
        <v>76</v>
      </c>
      <c r="B77" s="3" t="s">
        <v>203</v>
      </c>
      <c r="C77" s="1" t="s">
        <v>204</v>
      </c>
      <c r="D77" s="1">
        <v>4.8</v>
      </c>
      <c r="E77" s="1">
        <v>104512</v>
      </c>
      <c r="F77" s="1" t="s">
        <v>21</v>
      </c>
      <c r="G77" s="2">
        <v>24.99</v>
      </c>
      <c r="H77" s="1">
        <v>364</v>
      </c>
      <c r="I77" s="6" t="s">
        <v>205</v>
      </c>
      <c r="J77" s="1" t="s">
        <v>12</v>
      </c>
      <c r="K77" s="3" t="str" cm="1">
        <f t="array" ref="K77">_xlfn.IFS(G77&lt;10, "Budget", G77&lt;20, "Mid-range", G77&gt;=20, "Premium")</f>
        <v>Premium</v>
      </c>
    </row>
    <row r="78" spans="1:11" x14ac:dyDescent="0.3">
      <c r="A78" s="4">
        <v>77</v>
      </c>
      <c r="B78" s="3" t="s">
        <v>206</v>
      </c>
      <c r="C78" s="1" t="s">
        <v>207</v>
      </c>
      <c r="D78" s="1">
        <v>4.8</v>
      </c>
      <c r="E78" s="1">
        <v>14746</v>
      </c>
      <c r="F78" s="1" t="s">
        <v>21</v>
      </c>
      <c r="G78" s="2">
        <v>24.62</v>
      </c>
      <c r="H78" s="1">
        <v>928</v>
      </c>
      <c r="I78" s="6" t="s">
        <v>208</v>
      </c>
      <c r="J78" s="1" t="s">
        <v>15</v>
      </c>
      <c r="K78" s="3" t="str" cm="1">
        <f t="array" ref="K78">_xlfn.IFS(G78&lt;10, "Budget", G78&lt;20, "Mid-range", G78&gt;=20, "Premium")</f>
        <v>Premium</v>
      </c>
    </row>
    <row r="79" spans="1:11" x14ac:dyDescent="0.3">
      <c r="A79" s="4">
        <v>78</v>
      </c>
      <c r="B79" s="3" t="s">
        <v>209</v>
      </c>
      <c r="C79" s="1" t="s">
        <v>210</v>
      </c>
      <c r="D79" s="1">
        <v>4.0999999999999996</v>
      </c>
      <c r="E79" s="1">
        <v>72785</v>
      </c>
      <c r="F79" s="1" t="s">
        <v>11</v>
      </c>
      <c r="G79" s="2">
        <v>12.97</v>
      </c>
      <c r="H79" s="1">
        <v>352</v>
      </c>
      <c r="I79" s="6" t="s">
        <v>211</v>
      </c>
      <c r="J79" s="1" t="s">
        <v>41</v>
      </c>
      <c r="K79" s="3" t="str" cm="1">
        <f t="array" ref="K79">_xlfn.IFS(G79&lt;10, "Budget", G79&lt;20, "Mid-range", G79&gt;=20, "Premium")</f>
        <v>Mid-range</v>
      </c>
    </row>
    <row r="80" spans="1:11" x14ac:dyDescent="0.3">
      <c r="A80" s="4">
        <v>79</v>
      </c>
      <c r="B80" s="3" t="s">
        <v>212</v>
      </c>
      <c r="C80" s="1" t="s">
        <v>213</v>
      </c>
      <c r="D80" s="1">
        <v>4.8</v>
      </c>
      <c r="E80" s="1">
        <v>20638</v>
      </c>
      <c r="F80" s="1" t="s">
        <v>11</v>
      </c>
      <c r="G80" s="2">
        <v>9.82</v>
      </c>
      <c r="H80" s="1">
        <v>40</v>
      </c>
      <c r="I80" s="6">
        <v>41074</v>
      </c>
      <c r="J80" s="1" t="s">
        <v>45</v>
      </c>
      <c r="K80" s="3" t="str" cm="1">
        <f t="array" ref="K80">_xlfn.IFS(G80&lt;10, "Budget", G80&lt;20, "Mid-range", G80&gt;=20, "Premium")</f>
        <v>Budget</v>
      </c>
    </row>
    <row r="81" spans="1:11" x14ac:dyDescent="0.3">
      <c r="A81" s="4">
        <v>80</v>
      </c>
      <c r="B81" s="3" t="s">
        <v>214</v>
      </c>
      <c r="C81" s="1" t="s">
        <v>215</v>
      </c>
      <c r="D81" s="1">
        <v>4.7</v>
      </c>
      <c r="E81" s="1">
        <v>396005</v>
      </c>
      <c r="F81" s="1" t="s">
        <v>21</v>
      </c>
      <c r="G81" s="2">
        <v>13.48</v>
      </c>
      <c r="H81" s="1">
        <v>608</v>
      </c>
      <c r="I81" s="6" t="s">
        <v>216</v>
      </c>
      <c r="J81" s="1" t="s">
        <v>15</v>
      </c>
      <c r="K81" s="3" t="str" cm="1">
        <f t="array" ref="K81">_xlfn.IFS(G81&lt;10, "Budget", G81&lt;20, "Mid-range", G81&gt;=20, "Premium")</f>
        <v>Mid-range</v>
      </c>
    </row>
    <row r="82" spans="1:11" x14ac:dyDescent="0.3">
      <c r="A82" s="4">
        <v>81</v>
      </c>
      <c r="B82" s="3" t="s">
        <v>217</v>
      </c>
      <c r="C82" s="1" t="s">
        <v>218</v>
      </c>
      <c r="D82" s="1">
        <v>4.9000000000000004</v>
      </c>
      <c r="E82" s="1">
        <v>65142</v>
      </c>
      <c r="F82" s="1" t="s">
        <v>21</v>
      </c>
      <c r="G82" s="2">
        <v>52.62</v>
      </c>
      <c r="I82" s="6" t="s">
        <v>219</v>
      </c>
      <c r="J82" s="1" t="s">
        <v>45</v>
      </c>
      <c r="K82" s="3" t="str" cm="1">
        <f t="array" ref="K82">_xlfn.IFS(G82&lt;10, "Budget", G82&lt;20, "Mid-range", G82&gt;=20, "Premium")</f>
        <v>Premium</v>
      </c>
    </row>
    <row r="83" spans="1:11" x14ac:dyDescent="0.3">
      <c r="A83" s="4">
        <v>82</v>
      </c>
      <c r="B83" s="3" t="s">
        <v>220</v>
      </c>
      <c r="C83" s="1" t="s">
        <v>221</v>
      </c>
      <c r="D83" s="1">
        <v>4.8</v>
      </c>
      <c r="E83" s="1">
        <v>27090</v>
      </c>
      <c r="F83" s="1" t="s">
        <v>21</v>
      </c>
      <c r="G83" s="2">
        <v>10.210000000000001</v>
      </c>
      <c r="H83" s="1">
        <v>216</v>
      </c>
      <c r="I83" s="6" t="s">
        <v>222</v>
      </c>
      <c r="J83" s="1" t="s">
        <v>12</v>
      </c>
      <c r="K83" s="3" t="str" cm="1">
        <f t="array" ref="K83">_xlfn.IFS(G83&lt;10, "Budget", G83&lt;20, "Mid-range", G83&gt;=20, "Premium")</f>
        <v>Mid-range</v>
      </c>
    </row>
    <row r="84" spans="1:11" x14ac:dyDescent="0.3">
      <c r="A84" s="4">
        <v>83</v>
      </c>
      <c r="B84" s="3" t="s">
        <v>223</v>
      </c>
      <c r="C84" s="1" t="s">
        <v>224</v>
      </c>
      <c r="D84" s="1">
        <v>4.7</v>
      </c>
      <c r="E84" s="1">
        <v>14647</v>
      </c>
      <c r="F84" s="1" t="s">
        <v>21</v>
      </c>
      <c r="G84" s="2">
        <v>10.199999999999999</v>
      </c>
      <c r="H84" s="1">
        <v>200</v>
      </c>
      <c r="I84" s="6" t="s">
        <v>225</v>
      </c>
      <c r="J84" s="1" t="s">
        <v>95</v>
      </c>
      <c r="K84" s="3" t="str" cm="1">
        <f t="array" ref="K84">_xlfn.IFS(G84&lt;10, "Budget", G84&lt;20, "Mid-range", G84&gt;=20, "Premium")</f>
        <v>Mid-range</v>
      </c>
    </row>
    <row r="85" spans="1:11" x14ac:dyDescent="0.3">
      <c r="A85" s="4">
        <v>84</v>
      </c>
      <c r="B85" s="3" t="s">
        <v>226</v>
      </c>
      <c r="C85" s="1" t="s">
        <v>63</v>
      </c>
      <c r="D85" s="1">
        <v>4.7</v>
      </c>
      <c r="E85" s="1">
        <v>269981</v>
      </c>
      <c r="F85" s="1" t="s">
        <v>21</v>
      </c>
      <c r="G85" s="2">
        <v>12.81</v>
      </c>
      <c r="H85" s="1">
        <v>736</v>
      </c>
      <c r="I85" s="6">
        <v>43984</v>
      </c>
      <c r="J85" s="1" t="s">
        <v>15</v>
      </c>
      <c r="K85" s="3" t="str" cm="1">
        <f t="array" ref="K85">_xlfn.IFS(G85&lt;10, "Budget", G85&lt;20, "Mid-range", G85&gt;=20, "Premium")</f>
        <v>Mid-range</v>
      </c>
    </row>
    <row r="86" spans="1:11" x14ac:dyDescent="0.3">
      <c r="A86" s="4">
        <v>85</v>
      </c>
      <c r="B86" s="3" t="s">
        <v>227</v>
      </c>
      <c r="C86" s="1" t="s">
        <v>228</v>
      </c>
      <c r="D86" s="1">
        <v>4.5</v>
      </c>
      <c r="E86" s="1">
        <v>158416</v>
      </c>
      <c r="F86" s="1" t="s">
        <v>11</v>
      </c>
      <c r="G86" s="2">
        <v>13.43</v>
      </c>
      <c r="H86" s="1">
        <v>224</v>
      </c>
      <c r="I86" s="6" t="s">
        <v>229</v>
      </c>
      <c r="J86" s="1" t="s">
        <v>12</v>
      </c>
      <c r="K86" s="3" t="str" cm="1">
        <f t="array" ref="K86">_xlfn.IFS(G86&lt;10, "Budget", G86&lt;20, "Mid-range", G86&gt;=20, "Premium")</f>
        <v>Mid-range</v>
      </c>
    </row>
    <row r="87" spans="1:11" x14ac:dyDescent="0.3">
      <c r="A87" s="4">
        <v>86</v>
      </c>
      <c r="B87" s="3" t="s">
        <v>230</v>
      </c>
      <c r="C87" s="1" t="s">
        <v>231</v>
      </c>
      <c r="D87" s="1">
        <v>4.7</v>
      </c>
      <c r="E87" s="1">
        <v>13739</v>
      </c>
      <c r="F87" s="1" t="s">
        <v>21</v>
      </c>
      <c r="G87" s="2">
        <v>14.71</v>
      </c>
      <c r="H87" s="1">
        <v>721</v>
      </c>
      <c r="I87" s="6" t="s">
        <v>232</v>
      </c>
      <c r="J87" s="1" t="s">
        <v>19</v>
      </c>
      <c r="K87" s="3" t="str" cm="1">
        <f t="array" ref="K87">_xlfn.IFS(G87&lt;10, "Budget", G87&lt;20, "Mid-range", G87&gt;=20, "Premium")</f>
        <v>Mid-range</v>
      </c>
    </row>
    <row r="88" spans="1:11" x14ac:dyDescent="0.3">
      <c r="A88" s="4">
        <v>87</v>
      </c>
      <c r="B88" s="3" t="s">
        <v>233</v>
      </c>
      <c r="C88" s="1" t="s">
        <v>234</v>
      </c>
      <c r="D88" s="1">
        <v>4.7</v>
      </c>
      <c r="E88" s="1">
        <v>7992</v>
      </c>
      <c r="F88" s="1" t="s">
        <v>11</v>
      </c>
      <c r="G88" s="2">
        <v>12.81</v>
      </c>
      <c r="H88" s="1">
        <v>352</v>
      </c>
      <c r="I88" s="6" t="s">
        <v>235</v>
      </c>
      <c r="J88" s="1" t="s">
        <v>33</v>
      </c>
      <c r="K88" s="3" t="str" cm="1">
        <f t="array" ref="K88">_xlfn.IFS(G88&lt;10, "Budget", G88&lt;20, "Mid-range", G88&gt;=20, "Premium")</f>
        <v>Mid-range</v>
      </c>
    </row>
    <row r="89" spans="1:11" x14ac:dyDescent="0.3">
      <c r="A89" s="4">
        <v>88</v>
      </c>
      <c r="B89" s="3" t="s">
        <v>236</v>
      </c>
      <c r="C89" s="1" t="s">
        <v>123</v>
      </c>
      <c r="D89" s="1">
        <v>4.5999999999999996</v>
      </c>
      <c r="E89" s="1">
        <v>3296</v>
      </c>
      <c r="F89" s="1" t="s">
        <v>21</v>
      </c>
      <c r="G89" s="2">
        <v>21.74</v>
      </c>
      <c r="H89" s="1">
        <v>227</v>
      </c>
      <c r="I89" s="6" t="s">
        <v>237</v>
      </c>
      <c r="J89" s="1" t="s">
        <v>12</v>
      </c>
      <c r="K89" s="3" t="str" cm="1">
        <f t="array" ref="K89">_xlfn.IFS(G89&lt;10, "Budget", G89&lt;20, "Mid-range", G89&gt;=20, "Premium")</f>
        <v>Premium</v>
      </c>
    </row>
    <row r="90" spans="1:11" x14ac:dyDescent="0.3">
      <c r="A90" s="4">
        <v>89</v>
      </c>
      <c r="B90" s="3" t="s">
        <v>238</v>
      </c>
      <c r="C90" s="1" t="s">
        <v>239</v>
      </c>
      <c r="D90" s="1">
        <v>4.5999999999999996</v>
      </c>
      <c r="E90" s="1">
        <v>123058</v>
      </c>
      <c r="F90" s="1" t="s">
        <v>21</v>
      </c>
      <c r="G90" s="2">
        <v>5.03</v>
      </c>
      <c r="H90" s="1">
        <v>208</v>
      </c>
      <c r="I90" s="6" t="s">
        <v>240</v>
      </c>
      <c r="J90" s="1" t="s">
        <v>19</v>
      </c>
      <c r="K90" s="3" t="str" cm="1">
        <f t="array" ref="K90">_xlfn.IFS(G90&lt;10, "Budget", G90&lt;20, "Mid-range", G90&gt;=20, "Premium")</f>
        <v>Budget</v>
      </c>
    </row>
    <row r="91" spans="1:11" x14ac:dyDescent="0.3">
      <c r="A91" s="4">
        <v>90</v>
      </c>
      <c r="B91" s="3" t="s">
        <v>241</v>
      </c>
      <c r="C91" s="1" t="s">
        <v>242</v>
      </c>
      <c r="D91" s="1">
        <v>4.9000000000000004</v>
      </c>
      <c r="E91" s="1">
        <v>67104</v>
      </c>
      <c r="F91" s="1" t="s">
        <v>21</v>
      </c>
      <c r="G91" s="2">
        <v>4.9800000000000004</v>
      </c>
      <c r="H91" s="1">
        <v>32</v>
      </c>
      <c r="I91" s="6" t="s">
        <v>243</v>
      </c>
      <c r="J91" s="1" t="s">
        <v>45</v>
      </c>
      <c r="K91" s="3" t="str" cm="1">
        <f t="array" ref="K91">_xlfn.IFS(G91&lt;10, "Budget", G91&lt;20, "Mid-range", G91&gt;=20, "Premium")</f>
        <v>Budget</v>
      </c>
    </row>
    <row r="92" spans="1:11" x14ac:dyDescent="0.3">
      <c r="A92" s="4">
        <v>91</v>
      </c>
      <c r="B92" s="3" t="s">
        <v>244</v>
      </c>
      <c r="C92" s="1" t="s">
        <v>245</v>
      </c>
      <c r="D92" s="1">
        <v>4.8</v>
      </c>
      <c r="E92" s="1">
        <v>37369</v>
      </c>
      <c r="F92" s="1" t="s">
        <v>11</v>
      </c>
      <c r="G92" s="2">
        <v>5.96</v>
      </c>
      <c r="H92" s="1">
        <v>40</v>
      </c>
      <c r="I92" s="6" t="s">
        <v>246</v>
      </c>
      <c r="J92" s="1" t="s">
        <v>45</v>
      </c>
      <c r="K92" s="3" t="str" cm="1">
        <f t="array" ref="K92">_xlfn.IFS(G92&lt;10, "Budget", G92&lt;20, "Mid-range", G92&gt;=20, "Premium")</f>
        <v>Budget</v>
      </c>
    </row>
    <row r="93" spans="1:11" x14ac:dyDescent="0.3">
      <c r="A93" s="4">
        <v>92</v>
      </c>
      <c r="B93" s="3" t="s">
        <v>247</v>
      </c>
      <c r="C93" s="1" t="s">
        <v>248</v>
      </c>
      <c r="D93" s="1">
        <v>4.5</v>
      </c>
      <c r="E93" s="1">
        <v>235857</v>
      </c>
      <c r="F93" s="1" t="s">
        <v>21</v>
      </c>
      <c r="G93" s="2">
        <v>10.18</v>
      </c>
      <c r="H93" s="1">
        <v>544</v>
      </c>
      <c r="I93" s="6" t="s">
        <v>249</v>
      </c>
      <c r="J93" s="1" t="s">
        <v>15</v>
      </c>
      <c r="K93" s="3" t="str" cm="1">
        <f t="array" ref="K93">_xlfn.IFS(G93&lt;10, "Budget", G93&lt;20, "Mid-range", G93&gt;=20, "Premium")</f>
        <v>Mid-range</v>
      </c>
    </row>
    <row r="94" spans="1:11" x14ac:dyDescent="0.3">
      <c r="A94" s="4">
        <v>93</v>
      </c>
      <c r="B94" s="3" t="s">
        <v>250</v>
      </c>
      <c r="C94" s="1" t="s">
        <v>251</v>
      </c>
      <c r="D94" s="1">
        <v>4.5</v>
      </c>
      <c r="E94" s="1">
        <v>105084</v>
      </c>
      <c r="F94" s="1" t="s">
        <v>21</v>
      </c>
      <c r="G94" s="2">
        <v>10.83</v>
      </c>
      <c r="H94" s="1">
        <v>528</v>
      </c>
      <c r="I94" s="6" t="s">
        <v>252</v>
      </c>
      <c r="J94" s="1" t="s">
        <v>15</v>
      </c>
      <c r="K94" s="3" t="str" cm="1">
        <f t="array" ref="K94">_xlfn.IFS(G94&lt;10, "Budget", G94&lt;20, "Mid-range", G94&gt;=20, "Premium")</f>
        <v>Mid-range</v>
      </c>
    </row>
    <row r="95" spans="1:11" x14ac:dyDescent="0.3">
      <c r="A95" s="4">
        <v>94</v>
      </c>
      <c r="B95" s="3" t="s">
        <v>253</v>
      </c>
      <c r="C95" s="1" t="s">
        <v>254</v>
      </c>
      <c r="D95" s="1">
        <v>4.8</v>
      </c>
      <c r="E95" s="1">
        <v>30260</v>
      </c>
      <c r="F95" s="1" t="s">
        <v>21</v>
      </c>
      <c r="G95" s="2">
        <v>9.43</v>
      </c>
      <c r="H95" s="1">
        <v>656</v>
      </c>
      <c r="I95" s="6">
        <v>42521</v>
      </c>
      <c r="J95" s="1" t="s">
        <v>33</v>
      </c>
      <c r="K95" s="3" t="str" cm="1">
        <f t="array" ref="K95">_xlfn.IFS(G95&lt;10, "Budget", G95&lt;20, "Mid-range", G95&gt;=20, "Premium")</f>
        <v>Budget</v>
      </c>
    </row>
    <row r="96" spans="1:11" x14ac:dyDescent="0.3">
      <c r="A96" s="4">
        <v>95</v>
      </c>
      <c r="B96" s="3" t="s">
        <v>255</v>
      </c>
      <c r="C96" s="1" t="s">
        <v>256</v>
      </c>
      <c r="D96" s="1">
        <v>4.3</v>
      </c>
      <c r="E96" s="1">
        <v>168512</v>
      </c>
      <c r="F96" s="1" t="s">
        <v>21</v>
      </c>
      <c r="G96" s="2">
        <v>7.16</v>
      </c>
      <c r="H96" s="1">
        <v>336</v>
      </c>
      <c r="I96" s="6" t="s">
        <v>257</v>
      </c>
      <c r="J96" s="1" t="s">
        <v>15</v>
      </c>
      <c r="K96" s="3" t="str" cm="1">
        <f t="array" ref="K96">_xlfn.IFS(G96&lt;10, "Budget", G96&lt;20, "Mid-range", G96&gt;=20, "Premium")</f>
        <v>Budget</v>
      </c>
    </row>
    <row r="97" spans="1:11" x14ac:dyDescent="0.3">
      <c r="A97" s="4">
        <v>96</v>
      </c>
      <c r="B97" s="3" t="s">
        <v>258</v>
      </c>
      <c r="C97" s="1" t="s">
        <v>259</v>
      </c>
      <c r="D97" s="1">
        <v>4.8</v>
      </c>
      <c r="E97" s="1">
        <v>40073</v>
      </c>
      <c r="F97" s="1" t="s">
        <v>11</v>
      </c>
      <c r="G97" s="2">
        <v>12</v>
      </c>
      <c r="H97" s="1">
        <v>192</v>
      </c>
      <c r="I97" s="6">
        <v>43396</v>
      </c>
      <c r="J97" s="1" t="s">
        <v>86</v>
      </c>
      <c r="K97" s="3" t="str" cm="1">
        <f t="array" ref="K97">_xlfn.IFS(G97&lt;10, "Budget", G97&lt;20, "Mid-range", G97&gt;=20, "Premium")</f>
        <v>Mid-range</v>
      </c>
    </row>
    <row r="98" spans="1:11" x14ac:dyDescent="0.3">
      <c r="A98" s="4">
        <v>97</v>
      </c>
      <c r="B98" s="3" t="s">
        <v>260</v>
      </c>
      <c r="C98" s="1" t="s">
        <v>261</v>
      </c>
      <c r="D98" s="1">
        <v>4.8</v>
      </c>
      <c r="E98" s="1">
        <v>91554</v>
      </c>
      <c r="F98" s="1" t="s">
        <v>21</v>
      </c>
      <c r="G98" s="2">
        <v>1.89</v>
      </c>
      <c r="H98" s="1">
        <v>224</v>
      </c>
      <c r="I98" s="6" t="s">
        <v>262</v>
      </c>
      <c r="J98" s="1" t="s">
        <v>12</v>
      </c>
      <c r="K98" s="3" t="str" cm="1">
        <f t="array" ref="K98">_xlfn.IFS(G98&lt;10, "Budget", G98&lt;20, "Mid-range", G98&gt;=20, "Premium")</f>
        <v>Budget</v>
      </c>
    </row>
    <row r="99" spans="1:11" x14ac:dyDescent="0.3">
      <c r="A99" s="4">
        <v>98</v>
      </c>
      <c r="B99" s="3" t="s">
        <v>263</v>
      </c>
      <c r="C99" s="1" t="s">
        <v>264</v>
      </c>
      <c r="D99" s="1">
        <v>4.8</v>
      </c>
      <c r="E99" s="1">
        <v>89173</v>
      </c>
      <c r="F99" s="1" t="s">
        <v>21</v>
      </c>
      <c r="G99" s="2">
        <v>5.26</v>
      </c>
      <c r="H99" s="1">
        <v>84</v>
      </c>
      <c r="I99" s="6">
        <v>43704</v>
      </c>
      <c r="J99" s="1" t="s">
        <v>45</v>
      </c>
      <c r="K99" s="3" t="str" cm="1">
        <f t="array" ref="K99">_xlfn.IFS(G99&lt;10, "Budget", G99&lt;20, "Mid-range", G99&gt;=20, "Premium")</f>
        <v>Budget</v>
      </c>
    </row>
    <row r="100" spans="1:11" x14ac:dyDescent="0.3">
      <c r="A100" s="4">
        <v>99</v>
      </c>
      <c r="B100" s="3" t="s">
        <v>265</v>
      </c>
      <c r="C100" s="1" t="s">
        <v>245</v>
      </c>
      <c r="D100" s="1">
        <v>4.8</v>
      </c>
      <c r="E100" s="1">
        <v>34994</v>
      </c>
      <c r="F100" s="1" t="s">
        <v>11</v>
      </c>
      <c r="G100" s="2">
        <v>5.71</v>
      </c>
      <c r="H100" s="1">
        <v>40</v>
      </c>
      <c r="I100" s="6" t="s">
        <v>266</v>
      </c>
      <c r="J100" s="1" t="s">
        <v>45</v>
      </c>
      <c r="K100" s="3" t="str" cm="1">
        <f t="array" ref="K100">_xlfn.IFS(G100&lt;10, "Budget", G100&lt;20, "Mid-range", G100&gt;=20, "Premium")</f>
        <v>Budget</v>
      </c>
    </row>
    <row r="101" spans="1:11" x14ac:dyDescent="0.3">
      <c r="A101" s="4">
        <v>100</v>
      </c>
      <c r="B101" s="3" t="s">
        <v>267</v>
      </c>
      <c r="C101" s="1" t="s">
        <v>63</v>
      </c>
      <c r="D101" s="1">
        <v>4.2</v>
      </c>
      <c r="E101" s="1">
        <v>181184</v>
      </c>
      <c r="F101" s="1" t="s">
        <v>21</v>
      </c>
      <c r="G101" s="2">
        <v>12.74</v>
      </c>
      <c r="H101" s="1">
        <v>272</v>
      </c>
      <c r="I101" s="6">
        <v>43984</v>
      </c>
      <c r="J101" s="1" t="s">
        <v>15</v>
      </c>
      <c r="K101" s="3" t="str" cm="1">
        <f t="array" ref="K101">_xlfn.IFS(G101&lt;10, "Budget", G101&lt;20, "Mid-range", G101&gt;=20, "Premium")</f>
        <v>Mid-range</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7B9D-536B-4259-8D44-80E5A5874972}">
  <dimension ref="A1:Y100"/>
  <sheetViews>
    <sheetView showGridLines="0" showRowColHeaders="0" tabSelected="1" zoomScaleNormal="100" workbookViewId="0">
      <selection activeCell="H14" sqref="H14"/>
    </sheetView>
  </sheetViews>
  <sheetFormatPr defaultRowHeight="14.4" x14ac:dyDescent="0.3"/>
  <sheetData>
    <row r="1" spans="1:25" x14ac:dyDescent="0.3">
      <c r="A1" s="13" t="s">
        <v>278</v>
      </c>
      <c r="B1" s="13"/>
      <c r="C1" s="13"/>
      <c r="D1" s="13"/>
      <c r="E1" s="13"/>
      <c r="F1" s="13"/>
      <c r="G1" s="13"/>
      <c r="H1" s="13"/>
      <c r="I1" s="13"/>
      <c r="J1" s="13"/>
      <c r="K1" s="13"/>
      <c r="L1" s="13"/>
      <c r="M1" s="13"/>
      <c r="N1" s="13"/>
      <c r="O1" s="13"/>
      <c r="P1" s="13"/>
      <c r="Q1" s="13"/>
      <c r="R1" s="13"/>
      <c r="S1" s="13"/>
      <c r="T1" s="13"/>
      <c r="U1" s="13"/>
      <c r="V1" s="13"/>
      <c r="W1" s="13"/>
      <c r="X1" s="13"/>
    </row>
    <row r="2" spans="1:25" x14ac:dyDescent="0.3">
      <c r="A2" s="13"/>
      <c r="B2" s="13"/>
      <c r="C2" s="13"/>
      <c r="D2" s="13"/>
      <c r="E2" s="13"/>
      <c r="F2" s="13"/>
      <c r="G2" s="13"/>
      <c r="H2" s="13"/>
      <c r="I2" s="13"/>
      <c r="J2" s="13"/>
      <c r="K2" s="13"/>
      <c r="L2" s="13"/>
      <c r="M2" s="13"/>
      <c r="N2" s="13"/>
      <c r="O2" s="13"/>
      <c r="P2" s="13"/>
      <c r="Q2" s="13"/>
      <c r="R2" s="13"/>
      <c r="S2" s="13"/>
      <c r="T2" s="13"/>
      <c r="U2" s="13"/>
      <c r="V2" s="13"/>
      <c r="W2" s="13"/>
      <c r="X2" s="13"/>
    </row>
    <row r="3" spans="1:25" x14ac:dyDescent="0.3">
      <c r="A3" s="13"/>
      <c r="B3" s="13"/>
      <c r="C3" s="13"/>
      <c r="D3" s="13"/>
      <c r="E3" s="13"/>
      <c r="F3" s="13"/>
      <c r="G3" s="13"/>
      <c r="H3" s="13"/>
      <c r="I3" s="13"/>
      <c r="J3" s="13"/>
      <c r="K3" s="13"/>
      <c r="L3" s="13"/>
      <c r="M3" s="13"/>
      <c r="N3" s="13"/>
      <c r="O3" s="13"/>
      <c r="P3" s="13"/>
      <c r="Q3" s="13"/>
      <c r="R3" s="13"/>
      <c r="S3" s="13"/>
      <c r="T3" s="13"/>
      <c r="U3" s="13"/>
      <c r="V3" s="13"/>
      <c r="W3" s="13"/>
      <c r="X3" s="13"/>
    </row>
    <row r="4" spans="1:25" x14ac:dyDescent="0.3">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3">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
      <c r="A6" s="10"/>
      <c r="B6" s="10"/>
      <c r="C6" s="10"/>
      <c r="D6" s="10"/>
      <c r="E6" s="10"/>
      <c r="F6" s="10"/>
      <c r="G6" s="10"/>
      <c r="H6" s="10"/>
      <c r="I6" s="14"/>
      <c r="J6" s="10"/>
      <c r="K6" s="10"/>
      <c r="L6" s="10"/>
      <c r="M6" s="10"/>
      <c r="N6" s="10"/>
      <c r="O6" s="10"/>
      <c r="P6" s="10"/>
      <c r="Q6" s="10"/>
      <c r="R6" s="10"/>
      <c r="S6" s="10"/>
      <c r="T6" s="10"/>
      <c r="U6" s="10"/>
      <c r="V6" s="10"/>
      <c r="W6" s="10"/>
      <c r="X6" s="10"/>
      <c r="Y6" s="10"/>
    </row>
    <row r="7" spans="1:25" x14ac:dyDescent="0.3">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3">
      <c r="A8" s="10"/>
      <c r="B8" s="10"/>
      <c r="C8" s="10"/>
      <c r="D8" s="10"/>
      <c r="E8" s="10"/>
      <c r="F8" s="10"/>
      <c r="G8" s="10"/>
      <c r="H8" s="10"/>
      <c r="I8" s="10"/>
      <c r="J8" s="10"/>
      <c r="K8" s="10"/>
      <c r="L8" s="10"/>
      <c r="M8" s="10"/>
      <c r="N8" s="10"/>
      <c r="O8" s="10"/>
      <c r="P8" s="10"/>
      <c r="Q8" s="10"/>
      <c r="R8" s="10"/>
      <c r="S8" s="10"/>
      <c r="T8" s="10"/>
      <c r="U8" s="10"/>
      <c r="V8" s="10"/>
      <c r="W8" s="10"/>
      <c r="X8" s="10"/>
      <c r="Y8" s="10"/>
    </row>
    <row r="9" spans="1:25" x14ac:dyDescent="0.3">
      <c r="A9" s="10"/>
      <c r="B9" s="10"/>
      <c r="C9" s="10"/>
      <c r="D9" s="10"/>
      <c r="E9" s="10"/>
      <c r="F9" s="10"/>
      <c r="G9" s="10"/>
      <c r="H9" s="10"/>
      <c r="I9" s="10"/>
      <c r="J9" s="10"/>
      <c r="K9" s="10"/>
      <c r="L9" s="10"/>
      <c r="M9" s="10"/>
      <c r="N9" s="10"/>
      <c r="O9" s="10"/>
      <c r="P9" s="10"/>
      <c r="Q9" s="10"/>
      <c r="R9" s="10"/>
      <c r="S9" s="10"/>
      <c r="T9" s="10"/>
      <c r="U9" s="10"/>
      <c r="V9" s="10"/>
      <c r="W9" s="10"/>
      <c r="X9" s="10"/>
      <c r="Y9" s="10"/>
    </row>
    <row r="10" spans="1:25"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5"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5"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5"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spans="1:25"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spans="1:25"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spans="1:25"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spans="1:25"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spans="1:25"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1:25"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spans="1:25"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spans="1:25"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spans="1:25"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spans="1:25"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spans="1:25"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spans="1:25"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spans="1:25"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row>
    <row r="52" spans="1:25"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spans="1:25"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spans="1:25"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spans="1:25"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spans="1:25"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spans="1:25"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spans="1:25"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spans="1:25"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spans="1:25"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spans="1:25"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spans="1:25"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spans="1:25"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spans="1:25"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spans="1:25"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spans="1:25"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spans="1:25"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spans="1:25"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spans="1:25"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spans="1:25"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spans="1:25"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spans="1:25"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spans="1:25"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spans="1:25"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spans="1:25"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spans="1:25"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spans="1:25"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spans="1:25"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spans="1:25"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spans="1:25"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spans="1:25"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spans="1:25"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spans="1:25"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spans="1:25"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spans="1:25"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spans="1:25"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spans="1:25"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spans="1:25"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spans="1:25"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spans="1:25"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spans="1:25"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spans="1:25"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spans="1:25"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spans="1:25"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spans="1:25"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spans="1:25"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spans="1:25"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spans="1:25"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spans="1:25"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spans="1:25"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books per price</vt:lpstr>
      <vt:lpstr>top 5 auther per rating</vt:lpstr>
      <vt:lpstr>top 5 genre rating</vt:lpstr>
      <vt:lpstr>form per rating</vt:lpstr>
      <vt:lpstr>rating per price category</vt:lpstr>
      <vt:lpstr>best sellin books 2023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sayed</dc:creator>
  <cp:lastModifiedBy>alraya</cp:lastModifiedBy>
  <dcterms:created xsi:type="dcterms:W3CDTF">2026-02-19T13:46:28Z</dcterms:created>
  <dcterms:modified xsi:type="dcterms:W3CDTF">2026-03-07T00:49:50Z</dcterms:modified>
</cp:coreProperties>
</file>